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2a8abc5cd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4fc8793978648b3"/>
    <x:sheet xmlns:r="http://schemas.openxmlformats.org/officeDocument/2006/relationships" name="Invoice Compliance" sheetId="2" r:id="Rb5e503ff43024427"/>
    <x:sheet xmlns:r="http://schemas.openxmlformats.org/officeDocument/2006/relationships" name="Exceptions" sheetId="3" r:id="R5654c95d2e69423d"/>
    <x:sheet xmlns:r="http://schemas.openxmlformats.org/officeDocument/2006/relationships" name="Vendor Master" sheetId="4" r:id="R354acd9d78a34a20"/>
    <x:sheet xmlns:r="http://schemas.openxmlformats.org/officeDocument/2006/relationships" name="Tax Rules" sheetId="5" r:id="R93ce25e68ed840ef"/>
    <x:sheet xmlns:r="http://schemas.openxmlformats.org/officeDocument/2006/relationships" name="Read Me" sheetId="6" r:id="Re155ce49750342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-mmm-yyyy"/>
    <x:numFmt numFmtId="201" formatCode="@"/>
    <x:numFmt numFmtId="202" formatCode="#,##0.00;(#,##0.00);-"/>
    <x:numFmt numFmtId="203" formatCode="0.0%"/>
  </x:numFmts>
  <x:fonts count="9">
    <x:font>
      <x:sz val="11"/>
      <x:name val="Carlito"/>
    </x:font>
    <x:font>
      <x:b/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C00000"/>
      </x:patternFill>
    </x:fill>
  </x:fills>
  <x:borders count="12">
    <x:border>
      <x:left/>
      <x:right/>
      <x:top/>
      <x:bottom/>
      <x:diagonal/>
    </x:border>
    <x:border>
      <x:left style="thin">
        <x:color rgb="FFC9B458"/>
      </x:left>
      <x:right/>
      <x:top style="thin">
        <x:color rgb="FFC9B458"/>
      </x:top>
      <x:bottom style="thin">
        <x:color rgb="FFC9B458"/>
      </x:bottom>
      <x:diagonal/>
    </x:border>
    <x:border>
      <x:left/>
      <x:right style="thin">
        <x:color rgb="FFC9B458"/>
      </x:right>
      <x:top style="thin">
        <x:color rgb="FFC9B458"/>
      </x:top>
      <x:bottom style="thin">
        <x:color rgb="FFC9B458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D9E2F3"/>
      </x:left>
      <x:right/>
      <x:top style="thin">
        <x:color rgb="FFD9E2F3"/>
      </x:top>
      <x:bottom/>
      <x:diagonal/>
    </x:border>
    <x:border>
      <x:left/>
      <x:right/>
      <x:top style="thin">
        <x:color rgb="FFD9E2F3"/>
      </x:top>
      <x:bottom/>
      <x:diagonal/>
    </x:border>
    <x:border>
      <x:left/>
      <x:right style="thin">
        <x:color rgb="FFD9E2F3"/>
      </x:right>
      <x:top style="thin">
        <x:color rgb="FFD9E2F3"/>
      </x:top>
      <x:bottom/>
      <x:diagonal/>
    </x:border>
    <x:border>
      <x:left style="thin">
        <x:color rgb="FFD9E2F3"/>
      </x:left>
      <x:right/>
      <x:top/>
      <x:bottom/>
      <x:diagonal/>
    </x:border>
    <x:border>
      <x:left/>
      <x:right style="thin">
        <x:color rgb="FFD9E2F3"/>
      </x:right>
      <x:top/>
      <x:bottom/>
      <x:diagonal/>
    </x:border>
    <x:border>
      <x:left style="thin">
        <x:color rgb="FFD9E2F3"/>
      </x:left>
      <x:right/>
      <x:top/>
      <x:bottom style="thin">
        <x:color rgb="FFD9E2F3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 style="thin">
        <x:color rgb="FFD9E2F3"/>
      </x:right>
      <x:top/>
      <x:bottom style="thin">
        <x:color rgb="FFD9E2F3"/>
      </x:bottom>
      <x:diagonal/>
    </x:border>
  </x:borders>
  <x:cellStyleXfs count="1">
    <x:xf numFmtId="0" fontId="0" fillId="0" borderId="0"/>
  </x:cellStyleXfs>
  <x:cellXfs count="77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1" fillId="2" borderId="2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2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3" borderId="1" xfId="0" applyNumberFormat="1" applyFont="1" applyFill="1" applyBorder="1"/>
    <x:xf numFmtId="200" fontId="1" fillId="3" borderId="2" xfId="0" applyNumberFormat="1" applyFont="1" applyFill="1" applyBorder="1"/>
    <x:xf numFmtId="0" fontId="0" fillId="3" borderId="0" xfId="0" applyNumberFormat="1" applyFont="1" applyFill="1" applyBorder="1"/>
    <x:xf numFmtId="0" fontId="4" fillId="3" borderId="1" xfId="0" applyNumberFormat="1" applyFont="1" applyFill="1" applyBorder="1"/>
    <x:xf numFmtId="200" fontId="5" fillId="3" borderId="2" xfId="0" applyNumberFormat="1" applyFont="1" applyFill="1" applyBorder="1"/>
    <x:xf numFmtId="0" fontId="5" fillId="3" borderId="0" xfId="0" applyNumberFormat="1" applyFont="1" applyFill="1" applyBorder="1"/>
    <x:xf numFmtId="0" fontId="4" fillId="3" borderId="3" xfId="0" applyNumberFormat="1" applyFont="1" applyFill="1" applyBorder="1"/>
    <x:xf numFmtId="200" fontId="5" fillId="3" borderId="3" xfId="0" applyNumberFormat="1" applyFont="1" applyFill="1" applyBorder="1"/>
    <x:xf numFmtId="0" fontId="5" fillId="3" borderId="3" xfId="0" applyNumberFormat="1" applyFont="1" applyFill="1" applyBorder="1"/>
    <x:xf numFmtId="0" fontId="4" fillId="3" borderId="3" xfId="0" applyNumberFormat="1" applyFont="1" applyFill="1" applyBorder="1" applyAlignment="1">
      <x:alignment wrapText="1"/>
    </x:xf>
    <x:xf numFmtId="200" fontId="5" fillId="3" borderId="3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horizontal="center" wrapText="1"/>
    </x:xf>
    <x:xf numFmtId="200" fontId="5" fillId="3" borderId="3" xfId="0" applyNumberFormat="1" applyFont="1" applyFill="1" applyBorder="1" applyAlignment="1">
      <x:alignment horizontal="center" wrapText="1"/>
    </x:xf>
    <x:xf numFmtId="0" fontId="5" fillId="3" borderId="3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200" fontId="5" fillId="3" borderId="3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201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3" xfId="0" applyNumberFormat="1" applyFont="1" applyFill="1" applyBorder="1"/>
    <x:xf numFmtId="0" fontId="5" fillId="4" borderId="3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/>
    </x:xf>
    <x:xf numFmtId="0" fontId="7" fillId="0" borderId="0" xfId="0" applyNumberFormat="1" applyFont="1" applyFill="1" applyBorder="1"/>
    <x:xf numFmtId="0" fontId="5" fillId="3" borderId="3" xfId="0" applyNumberFormat="1" applyFont="1" applyFill="1" applyBorder="1" applyAlignment="1">
      <x:alignment horizontal="center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202" fontId="2" fillId="0" borderId="5" xfId="0" applyNumberFormat="1" applyFont="1" applyFill="1" applyBorder="1"/>
    <x:xf numFmtId="202" fontId="2" fillId="0" borderId="1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</x:cellXfs>
  <x:cellStyles count="1">
    <x:cellStyle name="Normal" xfId="0"/>
  </x:cellStyles>
  <x:dxfs count="6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65a82cb914a69" /><Relationship Type="http://schemas.openxmlformats.org/officeDocument/2006/relationships/theme" Target="/xl/theme/theme1.xml" Id="Rab8218b679534367" /><Relationship Type="http://schemas.openxmlformats.org/officeDocument/2006/relationships/sharedStrings" Target="/xl/sharedStrings.xml" Id="R4446b0b502e64485" /><Relationship Type="http://schemas.openxmlformats.org/officeDocument/2006/relationships/worksheet" Target="/xl/worksheets/sheet1.xml" Id="R34fc8793978648b3" /><Relationship Type="http://schemas.openxmlformats.org/officeDocument/2006/relationships/worksheet" Target="/xl/worksheets/sheet2.xml" Id="Rb5e503ff43024427" /><Relationship Type="http://schemas.openxmlformats.org/officeDocument/2006/relationships/worksheet" Target="/xl/worksheets/sheet3.xml" Id="R5654c95d2e69423d" /><Relationship Type="http://schemas.openxmlformats.org/officeDocument/2006/relationships/worksheet" Target="/xl/worksheets/sheet4.xml" Id="R354acd9d78a34a20" /><Relationship Type="http://schemas.openxmlformats.org/officeDocument/2006/relationships/worksheet" Target="/xl/worksheets/sheet5.xml" Id="R93ce25e68ed840ef" /><Relationship Type="http://schemas.openxmlformats.org/officeDocument/2006/relationships/worksheet" Target="/xl/worksheets/sheet6.xml" Id="Re155ce49750342e5" /></Relationships>
</file>

<file path=xl/tables/table1.xml><?xml version="1.0" encoding="utf-8"?>
<x:table xmlns:x="http://schemas.openxmlformats.org/spreadsheetml/2006/main" id="1" name="InvoiceComplianceTable" displayName="InvoiceComplianceTable" ref="A1:AQ51" headerRowCount="1" totalsRowCount="0" totalsRowShown="0">
  <x:tableColumns count="43">
    <x:tableColumn id="1" name="Review date (editable)"/>
    <x:tableColumn id="2" name="Sat Oct 24 2026 05:30:00 GMT+0530 (India Standard Time)"/>
    <x:tableColumn id="3" name="Vendor Name"/>
    <x:tableColumn id="4" name="Vendor GSTIN"/>
    <x:tableColumn id="5" name="Vendor PAN"/>
    <x:tableColumn id="6" name="GSTIN Format"/>
    <x:tableColumn id="7" name="PAN ↔ GSTIN"/>
    <x:tableColumn id="8" name="GST Portal Status"/>
    <x:tableColumn id="9" name="Udyam Registration"/>
    <x:tableColumn id="10" name="MSME Class"/>
    <x:tableColumn id="11" name="Invoice No."/>
    <x:tableColumn id="12" name="Invoice Date"/>
    <x:tableColumn id="13" name="Place of Supply"/>
    <x:tableColumn id="14" name="Vendor State Code"/>
    <x:tableColumn id="15" name="Reverse Charge"/>
    <x:tableColumn id="16" name="Payment Terms"/>
    <x:tableColumn id="17" name="Contractual Due Date"/>
    <x:tableColumn id="18" name="Payment Date"/>
    <x:tableColumn id="19" name="GST Rate"/>
    <x:tableColumn id="20" name="Taxable Value"/>
    <x:tableColumn id="21" name="CGST"/>
    <x:tableColumn id="22" name="SGST"/>
    <x:tableColumn id="23" name="IGST"/>
    <x:tableColumn id="24" name="RCM GST Liability"/>
    <x:tableColumn id="25" name="Invoice Total"/>
    <x:tableColumn id="26" name="GST Tax Type"/>
    <x:tableColumn id="27" name="GST Tax Direction"/>
    <x:tableColumn id="28" name="GSTR-2B Status"/>
    <x:tableColumn id="29" name="Blocked ITC Review"/>
    <x:tableColumn id="30" name="180-day Payment Status"/>
    <x:tableColumn id="31" name="TDS Category"/>
    <x:tableColumn id="32" name="1961 Reference"/>
    <x:tableColumn id="33" name="2025 Reference"/>
    <x:tableColumn id="34" name="Proposed TDS Rate"/>
    <x:tableColumn id="35" name="TDS Base (ex-GST)"/>
    <x:tableColumn id="36" name="Expected TDS"/>
    <x:tableColumn id="37" name="TDS Deducted"/>
    <x:tableColumn id="38" name="TDS Deposit Date"/>
    <x:tableColumn id="39" name="TDS Reported"/>
    <x:tableColumn id="40" name="Foreign Vendor Review"/>
    <x:tableColumn id="41" name="MSME 45-day Status"/>
    <x:tableColumn id="42" name="Compliance Score"/>
    <x:tableColumn id="43" name="Suggested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ExceptionTable" displayName="ExceptionTable" ref="A1:K192" headerRowCount="1" totalsRowCount="0" totalsRowShown="0">
  <x:tableColumns count="11">
    <x:tableColumn id="1" name="Exception ID"/>
    <x:tableColumn id="2" name="Record ID"/>
    <x:tableColumn id="3" name="Vendor"/>
    <x:tableColumn id="4" name="Invoice No."/>
    <x:tableColumn id="5" name="Exception Type"/>
    <x:tableColumn id="6" name="Control Area"/>
    <x:tableColumn id="7" name="Amount at Stake"/>
    <x:tableColumn id="8" name="Risk"/>
    <x:tableColumn id="9" name="Suggested Action"/>
    <x:tableColumn id="10" name="Owner"/>
    <x:tableColumn id="11" name="Status"/>
  </x:tableColumns>
  <x:tableStyleInfo name="TableStyleMedium3" showFirstColumn="0" showLastColumn="0" showRowStripes="1" showColumnStripes="0"/>
</x:table>
</file>

<file path=xl/tables/table3.xml><?xml version="1.0" encoding="utf-8"?>
<x:table xmlns:x="http://schemas.openxmlformats.org/spreadsheetml/2006/main" id="2" name="VendorMasterTable" displayName="VendorMasterTable" ref="A1:N47" headerRowCount="1" totalsRowCount="0" totalsRowShown="0">
  <x:tableColumns count="14">
    <x:tableColumn id="1" name="Vendor Key"/>
    <x:tableColumn id="2" name="Vendor Name"/>
    <x:tableColumn id="3" name="PAN"/>
    <x:tableColumn id="4" name="GSTIN"/>
    <x:tableColumn id="5" name="PAN ↔ GSTIN"/>
    <x:tableColumn id="6" name="GST Portal Status"/>
    <x:tableColumn id="7" name="Udyam Registration"/>
    <x:tableColumn id="8" name="MSME Class"/>
    <x:tableColumn id="9" name="Vendor Type"/>
    <x:tableColumn id="10" name="Invoice Count"/>
    <x:tableColumn id="11" name="Taxable Value"/>
    <x:tableColumn id="12" name="Invoice Total"/>
    <x:tableColumn id="13" name="Master Cleanup Status"/>
    <x:tableColumn id="14" name="Required Cleanup / 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xRulesTable" displayName="TaxRulesTable" ref="A1:I9" headerRowCount="1" totalsRowCount="0" totalsRowShown="0">
  <x:tableColumns count="9">
    <x:tableColumn id="1" name="Rule ID"/>
    <x:tableColumn id="2" name="Payment Category"/>
    <x:tableColumn id="3" name="Income-tax Act, 1961"/>
    <x:tableColumn id="4" name="Income-tax Act, 2025"/>
    <x:tableColumn id="5" name="Indicative Rate"/>
    <x:tableColumn id="6" name="Threshold / Trigger"/>
    <x:tableColumn id="7" name="TDS Base"/>
    <x:tableColumn id="8" name="Sign-off Status"/>
    <x:tableColumn id="9" name="Tax Team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996be99b1048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505da8a7e743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f66bd724404c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547ce77f694c6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17.8799991607666" hidden="0" customWidth="1"/>
    <x:col min="3" max="3" width="12.25" hidden="0" customWidth="1"/>
    <x:col min="4" max="4" width="58" hidden="0" customWidth="1"/>
    <x:col min="5" max="5" width="42" hidden="0" customWidth="1"/>
  </x:cols>
  <x:sheetData>
    <x:row r="2">
      <x:c r="A2" s="44" t="str">
        <x:v>Vendor GST and TDS compliance review</x:v>
      </x:c>
      <x:c r="B2" s="44"/>
      <x:c r="C2" s="44"/>
      <x:c r="D2" s="44"/>
      <x:c r="E2" s="44"/>
    </x:row>
    <x:row r="3">
      <x:c r="A3" s="45" t="str">
        <x:v>Training dataset: 50 invoices | Review date feeds the 180-day and MSME age tests</x:v>
      </x:c>
      <x:c r="B3" s="45"/>
      <x:c r="C3" s="45"/>
      <x:c r="D3" s="45"/>
      <x:c r="E3" s="45"/>
    </x:row>
    <x:row r="5" ht="15" hidden="0" customHeight="1">
      <x:c r="A5" s="46" t="str">
        <x:v>Metric</x:v>
      </x:c>
      <x:c r="B5" s="46" t="str">
        <x:v>Count</x:v>
      </x:c>
      <x:c r="C5" s="46" t="str">
        <x:v>Amount</x:v>
      </x:c>
      <x:c r="D5" s="46" t="str">
        <x:v>Meaning</x:v>
      </x:c>
    </x:row>
    <x:row r="6" ht="15" hidden="0" customHeight="1">
      <x:c r="A6" s="47" t="str">
        <x:v>Invoices reviewed</x:v>
      </x:c>
      <x:c r="B6" s="48" t="n">
        <x:f>COUNTA('Invoice Compliance'!A2:A51)</x:f>
        <x:v>50</x:v>
      </x:c>
      <x:c r="C6" s="55" t="str"/>
      <x:c r="D6" s="49" t="str">
        <x:v>Invoice facts extracted from PDF</x:v>
      </x:c>
    </x:row>
    <x:row r="7" ht="15" hidden="0" customHeight="1">
      <x:c r="A7" s="50" t="str">
        <x:v>Unique vendors</x:v>
      </x:c>
      <x:c r="B7" s="33" t="n">
        <x:f>COUNTA('Vendor Master'!A2:A50)</x:f>
        <x:v>46</x:v>
      </x:c>
      <x:c r="C7" s="34" t="str"/>
      <x:c r="D7" s="51" t="str">
        <x:v>Distinct PAN/vendor records</x:v>
      </x:c>
    </x:row>
    <x:row r="8" ht="15" hidden="0" customHeight="1">
      <x:c r="A8" s="50" t="str">
        <x:v>High risk invoices</x:v>
      </x:c>
      <x:c r="B8" s="33" t="n">
        <x:f>COUNTIF('Invoice Compliance'!AP2:AP51,"High risk")</x:f>
        <x:v>6</x:v>
      </x:c>
      <x:c r="C8" s="34" t="str"/>
      <x:c r="D8" s="51" t="str">
        <x:v>Data-derived high-risk scores</x:v>
      </x:c>
    </x:row>
    <x:row r="9" ht="15" hidden="0" customHeight="1">
      <x:c r="A9" s="50" t="str">
        <x:v>Needs attention invoices</x:v>
      </x:c>
      <x:c r="B9" s="33" t="n">
        <x:f>COUNTIF('Invoice Compliance'!AP2:AP51,"Needs attention")</x:f>
        <x:v>44</x:v>
      </x:c>
      <x:c r="C9" s="34" t="str"/>
      <x:c r="D9" s="51" t="str">
        <x:v>Items needing external evidence</x:v>
      </x:c>
    </x:row>
    <x:row r="10" ht="15" hidden="0" customHeight="1">
      <x:c r="A10" s="50" t="str">
        <x:v>Open exceptions</x:v>
      </x:c>
      <x:c r="B10" s="33" t="n">
        <x:f>COUNTIF(Exceptions!K2:K999,"Open")</x:f>
        <x:v>191</x:v>
      </x:c>
      <x:c r="C10" s="34" t="str"/>
      <x:c r="D10" s="51" t="str">
        <x:v>GST, TDS, payment and MSME review items</x:v>
      </x:c>
    </x:row>
    <x:row r="11" ht="15" hidden="0" customHeight="1">
      <x:c r="A11" s="52" t="str">
        <x:v>Total invoice value</x:v>
      </x:c>
      <x:c r="B11" s="53" t="str"/>
      <x:c r="C11" s="56" t="n">
        <x:f>SUM('Invoice Compliance'!Y2:Y51)</x:f>
        <x:v>16370060.4</x:v>
      </x:c>
      <x:c r="D11" s="54" t="str">
        <x:v>Gross amount on invoices</x:v>
      </x:c>
    </x:row>
    <x:row r="12"/>
    <x:row r="13"/>
    <x:row r="14" ht="30" hidden="0" customHeight="1">
      <x:c r="A14" s="58" t="str">
        <x:v>Compliance scorecard</x:v>
      </x:c>
      <x:c r="B14" s="58" t="str">
        <x:v>Population</x:v>
      </x:c>
      <x:c r="C14" s="58" t="str">
        <x:v>Status</x:v>
      </x:c>
      <x:c r="D14" s="58" t="str">
        <x:v>What the sample evidence supports</x:v>
      </x:c>
      <x:c r="E14" s="58" t="str">
        <x:v>Next action</x:v>
      </x:c>
    </x:row>
    <x:row r="15" ht="58" hidden="0" customHeight="1">
      <x:c r="A15" s="67" t="str">
        <x:v>GST</x:v>
      </x:c>
      <x:c r="B15" s="68" t="str">
        <x:v>All invoices</x:v>
      </x:c>
      <x:c r="C15" s="68" t="str">
        <x:v>Needs attention</x:v>
      </x:c>
      <x:c r="D15" s="68" t="str">
        <x:v>Invoice tax split and PAN/GSTIN matching can be assessed. Portal-active status, GSTR-2B and ITC blocks need external evidence.</x:v>
      </x:c>
      <x:c r="E15" s="69" t="str">
        <x:v>Complete GST portal and 2B reconciliation.</x:v>
      </x:c>
    </x:row>
    <x:row r="16" ht="58" hidden="0" customHeight="1">
      <x:c r="A16" s="70" t="str">
        <x:v>TDS</x:v>
      </x:c>
      <x:c r="B16" s="71" t="str">
        <x:v>All vendor payments</x:v>
      </x:c>
      <x:c r="C16" s="71" t="str">
        <x:v>Needs attention</x:v>
      </x:c>
      <x:c r="D16" s="71" t="str">
        <x:v>Proposed categorisation is provided, but payment, deduction, challan and return evidence are not in PDFs.</x:v>
      </x:c>
      <x:c r="E16" s="72" t="str">
        <x:v>Confirm mapping and reconcile TDS register to challans/returns.</x:v>
      </x:c>
    </x:row>
    <x:row r="17" ht="58" hidden="0" customHeight="1">
      <x:c r="A17" s="73" t="str">
        <x:v>MSME</x:v>
      </x:c>
      <x:c r="B17" s="74" t="str">
        <x:v>Udyam-tagged vendors</x:v>
      </x:c>
      <x:c r="C17" s="74" t="str">
        <x:v>Needs attention</x:v>
      </x:c>
      <x:c r="D17" s="74" t="str">
        <x:v>Udyam details and stated terms are extracted; payment dates are unavailable.</x:v>
      </x:c>
      <x:c r="E17" s="75" t="str">
        <x:v>Load payment dates and test the 45-day clock.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9" max="9" width="22" hidden="0" customWidth="1"/>
    <x:col min="10" max="10" width="22" hidden="0" customWidth="1"/>
    <x:col min="11" max="11" width="22" hidden="0" customWidth="1"/>
    <x:col min="13" max="13" width="22" hidden="0" customWidth="1"/>
    <x:col min="16" max="16" width="22" hidden="0" customWidth="1"/>
    <x:col min="31" max="31" width="22" hidden="0" customWidth="1"/>
    <x:col min="42" max="42" width="22" hidden="0" customWidth="1"/>
    <x:col min="43" max="43" width="2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14" max="14" width="17" hidden="0" customWidth="1"/>
    <x:col min="15" max="15" width="17" hidden="0" customWidth="1"/>
    <x:col min="19" max="19" width="17" hidden="0" customWidth="1"/>
    <x:col min="26" max="26" width="17" hidden="0" customWidth="1"/>
    <x:col min="28" max="28" width="17" hidden="0" customWidth="1"/>
    <x:col min="29" max="29" width="17" hidden="0" customWidth="1"/>
    <x:col min="30" max="30" width="17" hidden="0" customWidth="1"/>
    <x:col min="40" max="40" width="17" hidden="0" customWidth="1"/>
    <x:col min="41" max="41" width="17" hidden="0" customWidth="1"/>
  </x:cols>
  <x:sheetData>
    <x:row r="1" ht="24" hidden="0" customHeight="1">
      <x:c r="A1" s="28" t="str">
        <x:v>Review date (editable)</x:v>
      </x:c>
      <x:c r="B1" s="29" t="d">
        <x:v>2026-10-24T00:00:00.000Z</x:v>
      </x:c>
      <x:c r="C1" s="30" t="str">
        <x:v>Vendor Name</x:v>
      </x:c>
      <x:c r="D1" s="30" t="str">
        <x:v>Vendor GSTIN</x:v>
      </x:c>
      <x:c r="E1" s="30" t="str">
        <x:v>Vendor PAN</x:v>
      </x:c>
      <x:c r="F1" s="30" t="str">
        <x:v>GSTIN Format</x:v>
      </x:c>
      <x:c r="G1" s="30" t="str">
        <x:v>PAN ↔ GSTIN</x:v>
      </x:c>
      <x:c r="H1" s="30" t="str">
        <x:v>GST Portal Status</x:v>
      </x:c>
      <x:c r="I1" s="30" t="str">
        <x:v>Udyam Registration</x:v>
      </x:c>
      <x:c r="J1" s="30" t="str">
        <x:v>MSME Class</x:v>
      </x:c>
      <x:c r="K1" s="30" t="str">
        <x:v>Invoice No.</x:v>
      </x:c>
      <x:c r="L1" s="30" t="str">
        <x:v>Invoice Date</x:v>
      </x:c>
      <x:c r="M1" s="30" t="str">
        <x:v>Place of Supply</x:v>
      </x:c>
      <x:c r="N1" s="30" t="str">
        <x:v>Vendor State Code</x:v>
      </x:c>
      <x:c r="O1" s="30" t="str">
        <x:v>Reverse Charge</x:v>
      </x:c>
      <x:c r="P1" s="30" t="str">
        <x:v>Payment Terms</x:v>
      </x:c>
      <x:c r="Q1" s="30" t="str">
        <x:v>Contractual Due Date</x:v>
      </x:c>
      <x:c r="R1" s="30" t="str">
        <x:v>Payment Date</x:v>
      </x:c>
      <x:c r="S1" s="30" t="str">
        <x:v>GST Rate</x:v>
      </x:c>
      <x:c r="T1" s="30" t="str">
        <x:v>Taxable Value</x:v>
      </x:c>
      <x:c r="U1" s="30" t="str">
        <x:v>CGST</x:v>
      </x:c>
      <x:c r="V1" s="30" t="str">
        <x:v>SGST</x:v>
      </x:c>
      <x:c r="W1" s="30" t="str">
        <x:v>IGST</x:v>
      </x:c>
      <x:c r="X1" s="30" t="str">
        <x:v>RCM GST Liability</x:v>
      </x:c>
      <x:c r="Y1" s="30" t="str">
        <x:v>Invoice Total</x:v>
      </x:c>
      <x:c r="Z1" s="30" t="str">
        <x:v>GST Tax Type</x:v>
      </x:c>
      <x:c r="AA1" s="30" t="str">
        <x:v>GST Tax Direction</x:v>
      </x:c>
      <x:c r="AB1" s="30" t="str">
        <x:v>GSTR-2B Status</x:v>
      </x:c>
      <x:c r="AC1" s="30" t="str">
        <x:v>Blocked ITC Review</x:v>
      </x:c>
      <x:c r="AD1" s="30" t="str">
        <x:v>180-day Payment Status</x:v>
      </x:c>
      <x:c r="AE1" s="30" t="str">
        <x:v>TDS Category</x:v>
      </x:c>
      <x:c r="AF1" s="30" t="str">
        <x:v>1961 Reference</x:v>
      </x:c>
      <x:c r="AG1" s="30" t="str">
        <x:v>2025 Reference</x:v>
      </x:c>
      <x:c r="AH1" s="30" t="str">
        <x:v>Proposed TDS Rate</x:v>
      </x:c>
      <x:c r="AI1" s="30" t="str">
        <x:v>TDS Base (ex-GST)</x:v>
      </x:c>
      <x:c r="AJ1" s="30" t="str">
        <x:v>Expected TDS</x:v>
      </x:c>
      <x:c r="AK1" s="30" t="str">
        <x:v>TDS Deducted</x:v>
      </x:c>
      <x:c r="AL1" s="30" t="str">
        <x:v>TDS Deposit Date</x:v>
      </x:c>
      <x:c r="AM1" s="30" t="str">
        <x:v>TDS Reported</x:v>
      </x:c>
      <x:c r="AN1" s="30" t="str">
        <x:v>Foreign Vendor Review</x:v>
      </x:c>
      <x:c r="AO1" s="30" t="str">
        <x:v>MSME 45-day Status</x:v>
      </x:c>
      <x:c r="AP1" s="30" t="str">
        <x:v>Compliance Score</x:v>
      </x:c>
      <x:c r="AQ1" s="30" t="str">
        <x:v>Suggested Action</x:v>
      </x:c>
    </x:row>
    <x:row r="2" ht="15" hidden="0" customHeight="1">
      <x:c r="A2" s="32" t="str">
        <x:v>INV-001</x:v>
      </x:c>
      <x:c r="B2" t="str">
        <x:v>INV01_Mehra_Associates.pdf</x:v>
      </x:c>
      <x:c r="C2" t="str">
        <x:v>Mehra &amp; Associates, Chartered Accountants</x:v>
      </x:c>
      <x:c r="D2" s="8" t="str">
        <x:v>07AAPFM5521K1ZY</x:v>
      </x:c>
      <x:c r="E2" s="8" t="str">
        <x:v>AAPFM5521K</x:v>
      </x:c>
      <x:c r="F2" t="str">
        <x:f>IF(AND(LEN(D2)=15,ISNUMBER(--LEFT(D2,2))),"Format OK","Check format")</x:f>
        <x:v>Format OK</x:v>
      </x:c>
      <x:c r="G2" t="str">
        <x:f>IF(AND(LEN(E2)=10,MID(D2,3,10)=E2),"Matches","Mismatch")</x:f>
        <x:v>Matches</x:v>
      </x:c>
      <x:c r="H2" t="str">
        <x:v>Not verified</x:v>
      </x:c>
      <x:c r="I2" t="str">
        <x:v>UDYAM-DL-08-0045123</x:v>
      </x:c>
      <x:c r="J2" t="str">
        <x:v>Micro Enterprise (Services)</x:v>
      </x:c>
      <x:c r="K2" t="str">
        <x:v>MA/26-27/118</x:v>
      </x:c>
      <x:c r="L2" s="1" t="d">
        <x:v>2026-04-18T00:00:00.000Z</x:v>
      </x:c>
      <x:c r="M2" t="str">
        <x:v>Delhi (07)</x:v>
      </x:c>
      <x:c r="N2" t="str">
        <x:v>07</x:v>
      </x:c>
      <x:c r="O2" t="str">
        <x:v>No</x:v>
      </x:c>
      <x:c r="P2" t="str">
        <x:v>30 days from invoice date</x:v>
      </x:c>
      <x:c r="Q2" s="1" t="n">
        <x:f>IFERROR(L2+VALUE(LEFT(P2,FIND(" ",P2)-1)),"")</x:f>
        <x:v>46160</x:v>
      </x:c>
      <x:c r="R2" s="1"/>
      <x:c r="S2" t="str">
        <x:v>18%</x:v>
      </x:c>
      <x:c r="T2" s="9" t="n">
        <x:v>450000</x:v>
      </x:c>
      <x:c r="U2" s="9" t="n">
        <x:v>40500</x:v>
      </x:c>
      <x:c r="V2" s="9" t="n">
        <x:v>40500</x:v>
      </x:c>
      <x:c r="W2" s="9" t="n">
        <x:v>0</x:v>
      </x:c>
      <x:c r="X2" s="9" t="n">
        <x:f>IF(O2="Yes",T2*VALUE(LEFT(S2,LEN(S2)-1))/100,0)</x:f>
        <x:v>0</x:v>
      </x:c>
      <x:c r="Y2" s="9" t="n">
        <x:v>531000</x:v>
      </x:c>
      <x:c r="Z2" t="str">
        <x:f>IF(O2="Yes","RCM - recipient to pay",IF(M2=LEFT(D2,2)&amp;"",IF(W2&gt;0,"Intra-state: CGST/SGST","Check tax split"),IF(W2&gt;0,"Inter-state: IGST","Check tax split")))</x:f>
        <x:v>Check tax split</x:v>
      </x:c>
      <x:c r="AA2" t="str"/>
      <x:c r="AB2" t="str">
        <x:v>Not verified</x:v>
      </x:c>
      <x:c r="AC2" t="str">
        <x:v>Review</x:v>
      </x:c>
      <x:c r="AD2" t="str">
        <x:f>IF(R2&lt;&gt;"",IF(R2&lt;=L2+180,"Paid within 180 days","Over 180 days - reverse ITC"),IF($B$1="","Payment evidence needed",IF($B$1&gt;L2+180,"Over 180 days - payment evidence needed","Payment evidence needed")))</x:f>
        <x:v>Over 180 days - payment evidence needed</x:v>
      </x:c>
      <x:c r="AE2" t="str">
        <x:v>Professional / technical services</x:v>
      </x:c>
      <x:c r="AF2" t="str">
        <x:v>194J</x:v>
      </x:c>
      <x:c r="AG2" t="str">
        <x:v>393(1) resident-payee table</x:v>
      </x:c>
      <x:c r="AH2" t="str">
        <x:v>10%</x:v>
      </x:c>
      <x:c r="AI2" s="10" t="n">
        <x:v>450000</x:v>
      </x:c>
      <x:c r="AJ2" s="9" t="n">
        <x:f>IFERROR(IF(AH2="Review","",AI2*VALUE(LEFT(AH2,FIND("%",AH2)-1))/100),"")</x:f>
        <x:v>45000</x:v>
      </x:c>
      <x:c r="AK2" s="9"/>
      <x:c r="AL2" s="9"/>
      <x:c r="AM2" s="9" t="str">
        <x:v>Not verified</x:v>
      </x:c>
      <x:c r="AN2" t="str">
        <x:v>Not applicable</x:v>
      </x:c>
      <x:c r="AO2" t="str">
        <x:f>IF(J2="", "Not MSME", IF(R2&lt;&gt;"", IF(R2&lt;=L2+45,"Paid within 45 days","Over 45 days"), IF($B$1&gt;L2+45,"Payment evidence needed","Within 45-day window")))</x:f>
        <x:v>Payment evidence needed</x:v>
      </x:c>
      <x:c r="AP2" t="str">
        <x:f>IF(OR(G2="Mismatch",AD2="Over 180 days - reverse ITC",AO2="Over 45 days",AN2="Required"),"High risk",IF(OR(H2="Not verified",AB2="Not verified",AC2="Review",AK2="",AM2="Not verified"),"Needs attention","Compliant"))</x:f>
        <x:v>Needs attention</x:v>
      </x:c>
      <x:c r="AQ2" t="str">
        <x:v>Classify professional vs technical and confirm rate</x:v>
      </x:c>
    </x:row>
    <x:row r="3" ht="15" hidden="0" customHeight="1">
      <x:c r="A3" s="32" t="str">
        <x:v>INV-002</x:v>
      </x:c>
      <x:c r="B3" t="str">
        <x:v>INV02_Cloudnest_Technologies_Private.pdf</x:v>
      </x:c>
      <x:c r="C3" t="str">
        <x:v>Cloudnest Technologies Private Limited</x:v>
      </x:c>
      <x:c r="D3" s="8" t="str">
        <x:v>29AAGCC7734L1Z4</x:v>
      </x:c>
      <x:c r="E3" s="8" t="str">
        <x:v>AAGCC7734L</x:v>
      </x:c>
      <x:c r="F3" t="str">
        <x:f>IF(AND(LEN(D3)=15,ISNUMBER(--LEFT(D3,2))),"Format OK","Check format")</x:f>
        <x:v>Format OK</x:v>
      </x:c>
      <x:c r="G3" t="str">
        <x:f>IF(AND(LEN(E3)=10,MID(D3,3,10)=E3),"Matches","Mismatch")</x:f>
        <x:v>Matches</x:v>
      </x:c>
      <x:c r="H3" t="str">
        <x:v>Not verified</x:v>
      </x:c>
      <x:c r="I3" t="str">
        <x:v>UDYAM-KR-03-0118842</x:v>
      </x:c>
      <x:c r="J3" t="str">
        <x:v>Small Enterprise (Services)</x:v>
      </x:c>
      <x:c r="K3" t="str">
        <x:v>CNT/KA/2026/0934</x:v>
      </x:c>
      <x:c r="L3" s="1" t="d">
        <x:v>2026-05-06T00:00:00.000Z</x:v>
      </x:c>
      <x:c r="M3" t="str">
        <x:v>Delhi (07)</x:v>
      </x:c>
      <x:c r="N3" t="str">
        <x:v>29</x:v>
      </x:c>
      <x:c r="O3" t="str">
        <x:v>No</x:v>
      </x:c>
      <x:c r="P3" t="str">
        <x:v>60 days from invoice date</x:v>
      </x:c>
      <x:c r="Q3" s="1" t="n">
        <x:f>IFERROR(L3+VALUE(LEFT(P3,FIND(" ",P3)-1)),"")</x:f>
        <x:v>46208</x:v>
      </x:c>
      <x:c r="R3" s="1"/>
      <x:c r="S3" t="str">
        <x:v>18%</x:v>
      </x:c>
      <x:c r="T3" s="9" t="n">
        <x:v>320000</x:v>
      </x:c>
      <x:c r="U3" s="9" t="n">
        <x:v>0</x:v>
      </x:c>
      <x:c r="V3" s="9" t="n">
        <x:v>0</x:v>
      </x:c>
      <x:c r="W3" s="9" t="n">
        <x:v>57600</x:v>
      </x:c>
      <x:c r="X3" s="9" t="n">
        <x:f>IF(O3="Yes",T3*VALUE(LEFT(S3,LEN(S3)-1))/100,0)</x:f>
        <x:v>0</x:v>
      </x:c>
      <x:c r="Y3" s="9" t="n">
        <x:v>377600</x:v>
      </x:c>
      <x:c r="Z3" t="str">
        <x:f>IF(O3="Yes","RCM - recipient to pay",IF(M3=LEFT(D3,2)&amp;"",IF(W3&gt;0,"Intra-state: CGST/SGST","Check tax split"),IF(W3&gt;0,"Inter-state: IGST","Check tax split")))</x:f>
        <x:v>Inter-state: IGST</x:v>
      </x:c>
      <x:c r="AA3" t="str"/>
      <x:c r="AB3" t="str">
        <x:v>Not verified</x:v>
      </x:c>
      <x:c r="AC3" t="str">
        <x:v>Review</x:v>
      </x:c>
      <x:c r="AD3" t="str">
        <x:f>IF(R3&lt;&gt;"",IF(R3&lt;=L3+180,"Paid within 180 days","Over 180 days - reverse ITC"),IF($B$1="","Payment evidence needed",IF($B$1&gt;L3+180,"Over 180 days - payment evidence needed","Payment evidence needed")))</x:f>
        <x:v>Payment evidence needed</x:v>
      </x:c>
      <x:c r="AE3" t="str">
        <x:v>TDS applicability review</x:v>
      </x:c>
      <x:c r="AF3" t="str">
        <x:v>Review</x:v>
      </x:c>
      <x:c r="AG3" t="str">
        <x:v>393(1) resident-payee table</x:v>
      </x:c>
      <x:c r="AH3" t="str">
        <x:v>Review</x:v>
      </x:c>
      <x:c r="AI3" s="10" t="n">
        <x:v>320000</x:v>
      </x:c>
      <x:c r="AJ3" s="9" t="str">
        <x:f>IFERROR(IF(AH3="Review","",AI3*VALUE(LEFT(AH3,FIND("%",AH3)-1))/100),"")</x:f>
      </x:c>
      <x:c r="AK3" s="9"/>
      <x:c r="AL3" s="9"/>
      <x:c r="AM3" s="9" t="str">
        <x:v>Not verified</x:v>
      </x:c>
      <x:c r="AN3" t="str">
        <x:v>Not applicable</x:v>
      </x:c>
      <x:c r="AO3" t="str">
        <x:f>IF(J3="", "Not MSME", IF(R3&lt;&gt;"", IF(R3&lt;=L3+45,"Paid within 45 days","Over 45 days"), IF($B$1&gt;L3+45,"Payment evidence needed","Within 45-day window")))</x:f>
        <x:v>Payment evidence needed</x:v>
      </x:c>
      <x:c r="AP3" t="str">
        <x:f>IF(OR(G3="Mismatch",AD3="Over 180 days - reverse ITC",AO3="Over 45 days",AN3="Required"),"High risk",IF(OR(H3="Not verified",AB3="Not verified",AC3="Review",AK3="",AM3="Not verified"),"Needs attention","Compliant"))</x:f>
        <x:v>Needs attention</x:v>
      </x:c>
      <x:c r="AQ3" t="str">
        <x:v>No automatic mapping; tax team to determine</x:v>
      </x:c>
    </x:row>
    <x:row r="4" ht="15" hidden="0" customHeight="1">
      <x:c r="A4" s="32" t="str">
        <x:v>INV-003</x:v>
      </x:c>
      <x:c r="B4" t="str">
        <x:v>INV03_Ritika_Sharma.pdf</x:v>
      </x:c>
      <x:c r="C4" t="str">
        <x:v>Ritika Sharma (Interior Design Consultant)</x:v>
      </x:c>
      <x:c r="D4" s="8" t="str">
        <x:v>06BQSPS4410D1ZT</x:v>
      </x:c>
      <x:c r="E4" s="8" t="str">
        <x:v>BQSPS4410D</x:v>
      </x:c>
      <x:c r="F4" t="str">
        <x:f>IF(AND(LEN(D4)=15,ISNUMBER(--LEFT(D4,2))),"Format OK","Check format")</x:f>
        <x:v>Format OK</x:v>
      </x:c>
      <x:c r="G4" t="str">
        <x:f>IF(AND(LEN(E4)=10,MID(D4,3,10)=E4),"Matches","Mismatch")</x:f>
        <x:v>Matches</x:v>
      </x:c>
      <x:c r="H4" t="str">
        <x:v>Not verified</x:v>
      </x:c>
      <x:c r="I4" t="str"/>
      <x:c r="J4" t="str"/>
      <x:c r="K4" t="str">
        <x:v>RS-ID-014</x:v>
      </x:c>
      <x:c r="L4" s="1" t="d">
        <x:v>2026-05-12T00:00:00.000Z</x:v>
      </x:c>
      <x:c r="M4" t="str">
        <x:v>Haryana (06)</x:v>
      </x:c>
      <x:c r="N4" t="str">
        <x:v>06</x:v>
      </x:c>
      <x:c r="O4" t="str">
        <x:v>No</x:v>
      </x:c>
      <x:c r="P4" t="str"/>
      <x:c r="Q4" s="1" t="str">
        <x:f>IFERROR(L4+VALUE(LEFT(P4,FIND(" ",P4)-1)),"")</x:f>
      </x:c>
      <x:c r="R4" s="1"/>
      <x:c r="S4" t="str">
        <x:v>18%</x:v>
      </x:c>
      <x:c r="T4" s="9" t="n">
        <x:v>110000</x:v>
      </x:c>
      <x:c r="U4" s="9" t="n">
        <x:v>9900</x:v>
      </x:c>
      <x:c r="V4" s="9" t="n">
        <x:v>9900</x:v>
      </x:c>
      <x:c r="W4" s="9" t="n">
        <x:v>0</x:v>
      </x:c>
      <x:c r="X4" s="9" t="n">
        <x:f>IF(O4="Yes",T4*VALUE(LEFT(S4,LEN(S4)-1))/100,0)</x:f>
        <x:v>0</x:v>
      </x:c>
      <x:c r="Y4" s="9" t="n">
        <x:v>129800</x:v>
      </x:c>
      <x:c r="Z4" t="str">
        <x:f>IF(O4="Yes","RCM - recipient to pay",IF(M4=LEFT(D4,2)&amp;"",IF(W4&gt;0,"Intra-state: CGST/SGST","Check tax split"),IF(W4&gt;0,"Inter-state: IGST","Check tax split")))</x:f>
        <x:v>Check tax split</x:v>
      </x:c>
      <x:c r="AA4" t="str"/>
      <x:c r="AB4" t="str">
        <x:v>Not verified</x:v>
      </x:c>
      <x:c r="AC4" t="str">
        <x:v>Review</x:v>
      </x:c>
      <x:c r="AD4" t="str">
        <x:f>IF(R4&lt;&gt;"",IF(R4&lt;=L4+180,"Paid within 180 days","Over 180 days - reverse ITC"),IF($B$1="","Payment evidence needed",IF($B$1&gt;L4+180,"Over 180 days - payment evidence needed","Payment evidence needed")))</x:f>
        <x:v>Payment evidence needed</x:v>
      </x:c>
      <x:c r="AE4" t="str">
        <x:v>Professional / technical services</x:v>
      </x:c>
      <x:c r="AF4" t="str">
        <x:v>194J</x:v>
      </x:c>
      <x:c r="AG4" t="str">
        <x:v>393(1) resident-payee table</x:v>
      </x:c>
      <x:c r="AH4" t="str">
        <x:v>10%</x:v>
      </x:c>
      <x:c r="AI4" s="10" t="n">
        <x:v>110000</x:v>
      </x:c>
      <x:c r="AJ4" s="9" t="n">
        <x:f>IFERROR(IF(AH4="Review","",AI4*VALUE(LEFT(AH4,FIND("%",AH4)-1))/100),"")</x:f>
        <x:v>11000</x:v>
      </x:c>
      <x:c r="AK4" s="9"/>
      <x:c r="AL4" s="9"/>
      <x:c r="AM4" s="9" t="str">
        <x:v>Not verified</x:v>
      </x:c>
      <x:c r="AN4" t="str">
        <x:v>Not applicable</x:v>
      </x:c>
      <x:c r="AO4" t="str">
        <x:f>IF(J4="", "Not MSME", IF(R4&lt;&gt;"", IF(R4&lt;=L4+45,"Paid within 45 days","Over 45 days"), IF($B$1&gt;L4+45,"Payment evidence needed","Within 45-day window")))</x:f>
        <x:v>Not MSME</x:v>
      </x:c>
      <x:c r="AP4" t="str">
        <x:f>IF(OR(G4="Mismatch",AD4="Over 180 days - reverse ITC",AO4="Over 45 days",AN4="Required"),"High risk",IF(OR(H4="Not verified",AB4="Not verified",AC4="Review",AK4="",AM4="Not verified"),"Needs attention","Compliant"))</x:f>
        <x:v>Needs attention</x:v>
      </x:c>
      <x:c r="AQ4" t="str">
        <x:v>Classify professional vs technical and confirm rate</x:v>
      </x:c>
    </x:row>
    <x:row r="5" ht="15" hidden="0" customHeight="1">
      <x:c r="A5" s="32" t="str">
        <x:v>INV-004</x:v>
      </x:c>
      <x:c r="B5" t="str">
        <x:v>INV04_Swachh_Facility_Services.pdf</x:v>
      </x:c>
      <x:c r="C5" t="str">
        <x:v>Swachh Facility Services</x:v>
      </x:c>
      <x:c r="D5" s="8" t="str">
        <x:v>07AAXFS2290R1Z2</x:v>
      </x:c>
      <x:c r="E5" s="8" t="str">
        <x:v>AAXFS2290R</x:v>
      </x:c>
      <x:c r="F5" t="str">
        <x:f>IF(AND(LEN(D5)=15,ISNUMBER(--LEFT(D5,2))),"Format OK","Check format")</x:f>
        <x:v>Format OK</x:v>
      </x:c>
      <x:c r="G5" t="str">
        <x:f>IF(AND(LEN(E5)=10,MID(D5,3,10)=E5),"Matches","Mismatch")</x:f>
        <x:v>Matches</x:v>
      </x:c>
      <x:c r="H5" t="str">
        <x:v>Not verified</x:v>
      </x:c>
      <x:c r="I5" t="str">
        <x:v>UDYAM-DL-08-0077310</x:v>
      </x:c>
      <x:c r="J5" t="str">
        <x:v>Micro Enterprise (Services)</x:v>
      </x:c>
      <x:c r="K5" t="str">
        <x:v>SFS/26-27/041</x:v>
      </x:c>
      <x:c r="L5" s="1" t="d">
        <x:v>2026-05-31T00:00:00.000Z</x:v>
      </x:c>
      <x:c r="M5" t="str">
        <x:v>Delhi (07)</x:v>
      </x:c>
      <x:c r="N5" t="str">
        <x:v>07</x:v>
      </x:c>
      <x:c r="O5" t="str">
        <x:v>No</x:v>
      </x:c>
      <x:c r="P5" t="str"/>
      <x:c r="Q5" s="1" t="str">
        <x:f>IFERROR(L5+VALUE(LEFT(P5,FIND(" ",P5)-1)),"")</x:f>
      </x:c>
      <x:c r="R5" s="1"/>
      <x:c r="S5" t="str">
        <x:v>18%</x:v>
      </x:c>
      <x:c r="T5" s="9" t="n">
        <x:v>126000</x:v>
      </x:c>
      <x:c r="U5" s="9" t="n">
        <x:v>11340</x:v>
      </x:c>
      <x:c r="V5" s="9" t="n">
        <x:v>11340</x:v>
      </x:c>
      <x:c r="W5" s="9" t="n">
        <x:v>0</x:v>
      </x:c>
      <x:c r="X5" s="9" t="n">
        <x:f>IF(O5="Yes",T5*VALUE(LEFT(S5,LEN(S5)-1))/100,0)</x:f>
        <x:v>0</x:v>
      </x:c>
      <x:c r="Y5" s="9" t="n">
        <x:v>148680</x:v>
      </x:c>
      <x:c r="Z5" t="str">
        <x:f>IF(O5="Yes","RCM - recipient to pay",IF(M5=LEFT(D5,2)&amp;"",IF(W5&gt;0,"Intra-state: CGST/SGST","Check tax split"),IF(W5&gt;0,"Inter-state: IGST","Check tax split")))</x:f>
        <x:v>Check tax split</x:v>
      </x:c>
      <x:c r="AA5" t="str"/>
      <x:c r="AB5" t="str">
        <x:v>Not verified</x:v>
      </x:c>
      <x:c r="AC5" t="str">
        <x:v>Review</x:v>
      </x:c>
      <x:c r="AD5" t="str">
        <x:f>IF(R5&lt;&gt;"",IF(R5&lt;=L5+180,"Paid within 180 days","Over 180 days - reverse ITC"),IF($B$1="","Payment evidence needed",IF($B$1&gt;L5+180,"Over 180 days - payment evidence needed","Payment evidence needed")))</x:f>
        <x:v>Payment evidence needed</x:v>
      </x:c>
      <x:c r="AE5" t="str">
        <x:v>Contract / work</x:v>
      </x:c>
      <x:c r="AF5" t="str">
        <x:v>194C</x:v>
      </x:c>
      <x:c r="AG5" t="str">
        <x:v>393(1) [Table: Sl. No. 6(i)]</x:v>
      </x:c>
      <x:c r="AH5" t="str">
        <x:v>2%</x:v>
      </x:c>
      <x:c r="AI5" s="10" t="n">
        <x:v>126000</x:v>
      </x:c>
      <x:c r="AJ5" s="9" t="n">
        <x:f>IFERROR(IF(AH5="Review","",AI5*VALUE(LEFT(AH5,FIND("%",AH5)-1))/100),"")</x:f>
        <x:v>2520</x:v>
      </x:c>
      <x:c r="AK5" s="9"/>
      <x:c r="AL5" s="9"/>
      <x:c r="AM5" s="9" t="str">
        <x:v>Not verified</x:v>
      </x:c>
      <x:c r="AN5" t="str">
        <x:v>Not applicable</x:v>
      </x:c>
      <x:c r="AO5" t="str">
        <x:f>IF(J5="", "Not MSME", IF(R5&lt;&gt;"", IF(R5&lt;=L5+45,"Paid within 45 days","Over 45 days"), IF($B$1&gt;L5+45,"Payment evidence needed","Within 45-day window")))</x:f>
        <x:v>Payment evidence needed</x:v>
      </x:c>
      <x:c r="AP5" t="str">
        <x:f>IF(OR(G5="Mismatch",AD5="Over 180 days - reverse ITC",AO5="Over 45 days",AN5="Required"),"High risk",IF(OR(H5="Not verified",AB5="Not verified",AC5="Review",AK5="",AM5="Not verified"),"Needs attention","Compliant"))</x:f>
        <x:v>Needs attention</x:v>
      </x:c>
      <x:c r="AQ5" t="str">
        <x:v>Confirm payee constitution; individual/HUF rate may be 1%</x:v>
      </x:c>
    </x:row>
    <x:row r="6" ht="15" hidden="0" customHeight="1">
      <x:c r="A6" s="32" t="str">
        <x:v>INV-005</x:v>
      </x:c>
      <x:c r="B6" t="str">
        <x:v>INV05_Om_Sai_Enterprises.pdf</x:v>
      </x:c>
      <x:c r="C6" t="str">
        <x:v>Om Sai Enterprises (Prop. Rajesh Kumar)</x:v>
      </x:c>
      <x:c r="D6" s="8" t="str">
        <x:v>07CKZPK6619H1ZG</x:v>
      </x:c>
      <x:c r="E6" s="8" t="str">
        <x:v>CKZPK6619H</x:v>
      </x:c>
      <x:c r="F6" t="str">
        <x:f>IF(AND(LEN(D6)=15,ISNUMBER(--LEFT(D6,2))),"Format OK","Check format")</x:f>
        <x:v>Format OK</x:v>
      </x:c>
      <x:c r="G6" t="str">
        <x:f>IF(AND(LEN(E6)=10,MID(D6,3,10)=E6),"Matches","Mismatch")</x:f>
        <x:v>Matches</x:v>
      </x:c>
      <x:c r="H6" t="str">
        <x:v>Not verified</x:v>
      </x:c>
      <x:c r="I6" t="str">
        <x:v>UDYAM-DL-11-0031908</x:v>
      </x:c>
      <x:c r="J6" t="str">
        <x:v>Micro Enterprise (Services)</x:v>
      </x:c>
      <x:c r="K6" t="str">
        <x:v>OSE/059</x:v>
      </x:c>
      <x:c r="L6" s="1" t="d">
        <x:v>2026-06-02T00:00:00.000Z</x:v>
      </x:c>
      <x:c r="M6" t="str">
        <x:v>Delhi (07)</x:v>
      </x:c>
      <x:c r="N6" t="str">
        <x:v>07</x:v>
      </x:c>
      <x:c r="O6" t="str">
        <x:v>No</x:v>
      </x:c>
      <x:c r="P6" t="str">
        <x:v>15 days from invoice date</x:v>
      </x:c>
      <x:c r="Q6" s="1" t="n">
        <x:f>IFERROR(L6+VALUE(LEFT(P6,FIND(" ",P6)-1)),"")</x:f>
        <x:v>46190</x:v>
      </x:c>
      <x:c r="R6" s="1"/>
      <x:c r="S6" t="str">
        <x:v>18%</x:v>
      </x:c>
      <x:c r="T6" s="9" t="n">
        <x:v>37000</x:v>
      </x:c>
      <x:c r="U6" s="9" t="n">
        <x:v>3330</x:v>
      </x:c>
      <x:c r="V6" s="9" t="n">
        <x:v>3330</x:v>
      </x:c>
      <x:c r="W6" s="9" t="n">
        <x:v>0</x:v>
      </x:c>
      <x:c r="X6" s="9" t="n">
        <x:f>IF(O6="Yes",T6*VALUE(LEFT(S6,LEN(S6)-1))/100,0)</x:f>
        <x:v>0</x:v>
      </x:c>
      <x:c r="Y6" s="9" t="n">
        <x:v>43660</x:v>
      </x:c>
      <x:c r="Z6" t="str">
        <x:f>IF(O6="Yes","RCM - recipient to pay",IF(M6=LEFT(D6,2)&amp;"",IF(W6&gt;0,"Intra-state: CGST/SGST","Check tax split"),IF(W6&gt;0,"Inter-state: IGST","Check tax split")))</x:f>
        <x:v>Check tax split</x:v>
      </x:c>
      <x:c r="AA6" t="str"/>
      <x:c r="AB6" t="str">
        <x:v>Not verified</x:v>
      </x:c>
      <x:c r="AC6" t="str">
        <x:v>Review</x:v>
      </x:c>
      <x:c r="AD6" t="str">
        <x:f>IF(R6&lt;&gt;"",IF(R6&lt;=L6+180,"Paid within 180 days","Over 180 days - reverse ITC"),IF($B$1="","Payment evidence needed",IF($B$1&gt;L6+180,"Over 180 days - payment evidence needed","Payment evidence needed")))</x:f>
        <x:v>Payment evidence needed</x:v>
      </x:c>
      <x:c r="AE6" t="str">
        <x:v>Contract / work</x:v>
      </x:c>
      <x:c r="AF6" t="str">
        <x:v>194C</x:v>
      </x:c>
      <x:c r="AG6" t="str">
        <x:v>393(1) [Table: Sl. No. 6(i)]</x:v>
      </x:c>
      <x:c r="AH6" t="str">
        <x:v>2%</x:v>
      </x:c>
      <x:c r="AI6" s="10" t="n">
        <x:v>37000</x:v>
      </x:c>
      <x:c r="AJ6" s="9" t="n">
        <x:f>IFERROR(IF(AH6="Review","",AI6*VALUE(LEFT(AH6,FIND("%",AH6)-1))/100),"")</x:f>
        <x:v>740</x:v>
      </x:c>
      <x:c r="AK6" s="9"/>
      <x:c r="AL6" s="9"/>
      <x:c r="AM6" s="9" t="str">
        <x:v>Not verified</x:v>
      </x:c>
      <x:c r="AN6" t="str">
        <x:v>Not applicable</x:v>
      </x:c>
      <x:c r="AO6" t="str">
        <x:f>IF(J6="", "Not MSME", IF(R6&lt;&gt;"", IF(R6&lt;=L6+45,"Paid within 45 days","Over 45 days"), IF($B$1&gt;L6+45,"Payment evidence needed","Within 45-day window")))</x:f>
        <x:v>Payment evidence needed</x:v>
      </x:c>
      <x:c r="AP6" t="str">
        <x:f>IF(OR(G6="Mismatch",AD6="Over 180 days - reverse ITC",AO6="Over 45 days",AN6="Required"),"High risk",IF(OR(H6="Not verified",AB6="Not verified",AC6="Review",AK6="",AM6="Not verified"),"Needs attention","Compliant"))</x:f>
        <x:v>Needs attention</x:v>
      </x:c>
      <x:c r="AQ6" t="str">
        <x:v>Confirm payee constitution; individual/HUF rate may be 1%</x:v>
      </x:c>
    </x:row>
    <x:row r="7" ht="15" hidden="0" customHeight="1">
      <x:c r="A7" s="32" t="str">
        <x:v>INV-006</x:v>
      </x:c>
      <x:c r="B7" t="str">
        <x:v>INV06_Pressline_Media_Private_Limite.pdf</x:v>
      </x:c>
      <x:c r="C7" t="str">
        <x:v>Pressline Media Private Limited</x:v>
      </x:c>
      <x:c r="D7" s="8" t="str">
        <x:v>27AADCP3398M1ZS</x:v>
      </x:c>
      <x:c r="E7" s="8" t="str">
        <x:v>AADCP3398M</x:v>
      </x:c>
      <x:c r="F7" t="str">
        <x:f>IF(AND(LEN(D7)=15,ISNUMBER(--LEFT(D7,2))),"Format OK","Check format")</x:f>
        <x:v>Format OK</x:v>
      </x:c>
      <x:c r="G7" t="str">
        <x:f>IF(AND(LEN(E7)=10,MID(D7,3,10)=E7),"Matches","Mismatch")</x:f>
        <x:v>Matches</x:v>
      </x:c>
      <x:c r="H7" t="str">
        <x:v>Not verified</x:v>
      </x:c>
      <x:c r="I7" t="str">
        <x:v>UDYAM-MH-19-0204411</x:v>
      </x:c>
      <x:c r="J7" t="str">
        <x:v>Medium Enterprise (Services)</x:v>
      </x:c>
      <x:c r="K7" t="str">
        <x:v>PML/DEL/2627/0412</x:v>
      </x:c>
      <x:c r="L7" s="1" t="d">
        <x:v>2026-06-10T00:00:00.000Z</x:v>
      </x:c>
      <x:c r="M7" t="str">
        <x:v>Delhi (07)</x:v>
      </x:c>
      <x:c r="N7" t="str">
        <x:v>27</x:v>
      </x:c>
      <x:c r="O7" t="str">
        <x:v>No</x:v>
      </x:c>
      <x:c r="P7" t="str">
        <x:v>30 days from invoice date</x:v>
      </x:c>
      <x:c r="Q7" s="1" t="n">
        <x:f>IFERROR(L7+VALUE(LEFT(P7,FIND(" ",P7)-1)),"")</x:f>
        <x:v>46213</x:v>
      </x:c>
      <x:c r="R7" s="1"/>
      <x:c r="S7" t="str">
        <x:v>5%</x:v>
      </x:c>
      <x:c r="T7" s="9" t="n">
        <x:v>240000</x:v>
      </x:c>
      <x:c r="U7" s="9" t="n">
        <x:v>0</x:v>
      </x:c>
      <x:c r="V7" s="9" t="n">
        <x:v>0</x:v>
      </x:c>
      <x:c r="W7" s="9" t="n">
        <x:v>12000</x:v>
      </x:c>
      <x:c r="X7" s="9" t="n">
        <x:f>IF(O7="Yes",T7*VALUE(LEFT(S7,LEN(S7)-1))/100,0)</x:f>
        <x:v>0</x:v>
      </x:c>
      <x:c r="Y7" s="9" t="n">
        <x:v>252000</x:v>
      </x:c>
      <x:c r="Z7" t="str">
        <x:f>IF(O7="Yes","RCM - recipient to pay",IF(M7=LEFT(D7,2)&amp;"",IF(W7&gt;0,"Intra-state: CGST/SGST","Check tax split"),IF(W7&gt;0,"Inter-state: IGST","Check tax split")))</x:f>
        <x:v>Inter-state: IGST</x:v>
      </x:c>
      <x:c r="AA7" t="str"/>
      <x:c r="AB7" t="str">
        <x:v>Not verified</x:v>
      </x:c>
      <x:c r="AC7" t="str">
        <x:v>Review</x:v>
      </x:c>
      <x:c r="AD7" t="str">
        <x:f>IF(R7&lt;&gt;"",IF(R7&lt;=L7+180,"Paid within 180 days","Over 180 days - reverse ITC"),IF($B$1="","Payment evidence needed",IF($B$1&gt;L7+180,"Over 180 days - payment evidence needed","Payment evidence needed")))</x:f>
        <x:v>Payment evidence needed</x:v>
      </x:c>
      <x:c r="AE7" t="str">
        <x:v>Contract / work</x:v>
      </x:c>
      <x:c r="AF7" t="str">
        <x:v>194C</x:v>
      </x:c>
      <x:c r="AG7" t="str">
        <x:v>393(1) [Table: Sl. No. 6(i)]</x:v>
      </x:c>
      <x:c r="AH7" t="str">
        <x:v>2%</x:v>
      </x:c>
      <x:c r="AI7" s="10" t="n">
        <x:v>240000</x:v>
      </x:c>
      <x:c r="AJ7" s="9" t="n">
        <x:f>IFERROR(IF(AH7="Review","",AI7*VALUE(LEFT(AH7,FIND("%",AH7)-1))/100),"")</x:f>
        <x:v>4800</x:v>
      </x:c>
      <x:c r="AK7" s="9"/>
      <x:c r="AL7" s="9"/>
      <x:c r="AM7" s="9" t="str">
        <x:v>Not verified</x:v>
      </x:c>
      <x:c r="AN7" t="str">
        <x:v>Not applicable</x:v>
      </x:c>
      <x:c r="AO7" t="str">
        <x:f>IF(J7="", "Not MSME", IF(R7&lt;&gt;"", IF(R7&lt;=L7+45,"Paid within 45 days","Over 45 days"), IF($B$1&gt;L7+45,"Payment evidence needed","Within 45-day window")))</x:f>
        <x:v>Payment evidence needed</x:v>
      </x:c>
      <x:c r="AP7" t="str">
        <x:f>IF(OR(G7="Mismatch",AD7="Over 180 days - reverse ITC",AO7="Over 45 days",AN7="Required"),"High risk",IF(OR(H7="Not verified",AB7="Not verified",AC7="Review",AK7="",AM7="Not verified"),"Needs attention","Compliant"))</x:f>
        <x:v>Needs attention</x:v>
      </x:c>
      <x:c r="AQ7" t="str">
        <x:v>Confirm payee constitution; individual/HUF rate may be 1%</x:v>
      </x:c>
    </x:row>
    <x:row r="8" ht="15" hidden="0" customHeight="1">
      <x:c r="A8" s="32" t="str">
        <x:v>INV-007</x:v>
      </x:c>
      <x:c r="B8" t="str">
        <x:v>INV07_Suresh_Chand_Gupta.pdf</x:v>
      </x:c>
      <x:c r="C8" t="str">
        <x:v>Suresh Chand Gupta</x:v>
      </x:c>
      <x:c r="D8" s="8" t="str">
        <x:v>07AGTPG1187N1ZR</x:v>
      </x:c>
      <x:c r="E8" s="8" t="str">
        <x:v>AGTPG1187N</x:v>
      </x:c>
      <x:c r="F8" t="str">
        <x:f>IF(AND(LEN(D8)=15,ISNUMBER(--LEFT(D8,2))),"Format OK","Check format")</x:f>
        <x:v>Format OK</x:v>
      </x:c>
      <x:c r="G8" t="str">
        <x:f>IF(AND(LEN(E8)=10,MID(D8,3,10)=E8),"Matches","Mismatch")</x:f>
        <x:v>Matches</x:v>
      </x:c>
      <x:c r="H8" t="str">
        <x:v>Not verified</x:v>
      </x:c>
      <x:c r="I8" t="str"/>
      <x:c r="J8" t="str"/>
      <x:c r="K8" t="str">
        <x:v>SCG/R/2026-10</x:v>
      </x:c>
      <x:c r="L8" s="1" t="d">
        <x:v>2026-10-01T00:00:00.000Z</x:v>
      </x:c>
      <x:c r="M8" t="str">
        <x:v>Delhi (07)</x:v>
      </x:c>
      <x:c r="N8" t="str">
        <x:v>07</x:v>
      </x:c>
      <x:c r="O8" t="str">
        <x:v>No</x:v>
      </x:c>
      <x:c r="P8" t="str"/>
      <x:c r="Q8" s="1" t="str">
        <x:f>IFERROR(L8+VALUE(LEFT(P8,FIND(" ",P8)-1)),"")</x:f>
      </x:c>
      <x:c r="R8" s="1"/>
      <x:c r="S8" t="str">
        <x:v>18%</x:v>
      </x:c>
      <x:c r="T8" s="9" t="n">
        <x:v>180000</x:v>
      </x:c>
      <x:c r="U8" s="9" t="n">
        <x:v>16200</x:v>
      </x:c>
      <x:c r="V8" s="9" t="n">
        <x:v>16200</x:v>
      </x:c>
      <x:c r="W8" s="9" t="n">
        <x:v>0</x:v>
      </x:c>
      <x:c r="X8" s="9" t="n">
        <x:f>IF(O8="Yes",T8*VALUE(LEFT(S8,LEN(S8)-1))/100,0)</x:f>
        <x:v>0</x:v>
      </x:c>
      <x:c r="Y8" s="9" t="n">
        <x:v>212400</x:v>
      </x:c>
      <x:c r="Z8" t="str">
        <x:f>IF(O8="Yes","RCM - recipient to pay",IF(M8=LEFT(D8,2)&amp;"",IF(W8&gt;0,"Intra-state: CGST/SGST","Check tax split"),IF(W8&gt;0,"Inter-state: IGST","Check tax split")))</x:f>
        <x:v>Check tax split</x:v>
      </x:c>
      <x:c r="AA8" t="str"/>
      <x:c r="AB8" t="str">
        <x:v>Not verified</x:v>
      </x:c>
      <x:c r="AC8" t="str">
        <x:v>Review</x:v>
      </x:c>
      <x:c r="AD8" t="str">
        <x:f>IF(R8&lt;&gt;"",IF(R8&lt;=L8+180,"Paid within 180 days","Over 180 days - reverse ITC"),IF($B$1="","Payment evidence needed",IF($B$1&gt;L8+180,"Over 180 days - payment evidence needed","Payment evidence needed")))</x:f>
        <x:v>Payment evidence needed</x:v>
      </x:c>
      <x:c r="AE8" t="str">
        <x:v>Rent</x:v>
      </x:c>
      <x:c r="AF8" t="str">
        <x:v>194I</x:v>
      </x:c>
      <x:c r="AG8" t="str">
        <x:v>393(1) resident-payee table</x:v>
      </x:c>
      <x:c r="AH8" t="str">
        <x:v>10%</x:v>
      </x:c>
      <x:c r="AI8" s="10" t="n">
        <x:v>180000</x:v>
      </x:c>
      <x:c r="AJ8" s="9" t="n">
        <x:f>IFERROR(IF(AH8="Review","",AI8*VALUE(LEFT(AH8,FIND("%",AH8)-1))/100),"")</x:f>
        <x:v>18000</x:v>
      </x:c>
      <x:c r="AK8" s="9"/>
      <x:c r="AL8" s="9"/>
      <x:c r="AM8" s="9" t="str">
        <x:v>Not verified</x:v>
      </x:c>
      <x:c r="AN8" t="str">
        <x:v>Not applicable</x:v>
      </x:c>
      <x:c r="AO8" t="str">
        <x:f>IF(J8="", "Not MSME", IF(R8&lt;&gt;"", IF(R8&lt;=L8+45,"Paid within 45 days","Over 45 days"), IF($B$1&gt;L8+45,"Payment evidence needed","Within 45-day window")))</x:f>
        <x:v>Not MSME</x:v>
      </x:c>
      <x:c r="AP8" t="str">
        <x:f>IF(OR(G8="Mismatch",AD8="Over 180 days - reverse ITC",AO8="Over 45 days",AN8="Required"),"High risk",IF(OR(H8="Not verified",AB8="Not verified",AC8="Review",AK8="",AM8="Not verified"),"Needs attention","Compliant"))</x:f>
        <x:v>Needs attention</x:v>
      </x:c>
      <x:c r="AQ8" t="str">
        <x:v>Confirm asset type and annual threshold</x:v>
      </x:c>
    </x:row>
    <x:row r="9" ht="15" hidden="0" customHeight="1">
      <x:c r="A9" s="32" t="str">
        <x:v>INV-008</x:v>
      </x:c>
      <x:c r="B9" t="str">
        <x:v>INV08_Comfort_Rentals_LLP.pdf</x:v>
      </x:c>
      <x:c r="C9" t="str">
        <x:v>Comfort Rentals LLP</x:v>
      </x:c>
      <x:c r="D9" s="8" t="str">
        <x:v>06AAPFC8812E1ZF</x:v>
      </x:c>
      <x:c r="E9" s="8" t="str">
        <x:v>AAPFC8812E</x:v>
      </x:c>
      <x:c r="F9" t="str">
        <x:f>IF(AND(LEN(D9)=15,ISNUMBER(--LEFT(D9,2))),"Format OK","Check format")</x:f>
        <x:v>Format OK</x:v>
      </x:c>
      <x:c r="G9" t="str">
        <x:f>IF(AND(LEN(E9)=10,MID(D9,3,10)=E9),"Matches","Mismatch")</x:f>
        <x:v>Matches</x:v>
      </x:c>
      <x:c r="H9" t="str">
        <x:v>Not verified</x:v>
      </x:c>
      <x:c r="I9" t="str">
        <x:v>UDYAM-HR-05-0062275</x:v>
      </x:c>
      <x:c r="J9" t="str">
        <x:v>Small Enterprise (Services)</x:v>
      </x:c>
      <x:c r="K9" t="str">
        <x:v>CR-LLP/HR/0277</x:v>
      </x:c>
      <x:c r="L9" s="1" t="d">
        <x:v>2026-10-01T00:00:00.000Z</x:v>
      </x:c>
      <x:c r="M9" t="str">
        <x:v>Haryana (06)</x:v>
      </x:c>
      <x:c r="N9" t="str">
        <x:v>06</x:v>
      </x:c>
      <x:c r="O9" t="str">
        <x:v>No</x:v>
      </x:c>
      <x:c r="P9" t="str">
        <x:v>30 days from invoice date</x:v>
      </x:c>
      <x:c r="Q9" s="1" t="n">
        <x:f>IFERROR(L9+VALUE(LEFT(P9,FIND(" ",P9)-1)),"")</x:f>
        <x:v>46326</x:v>
      </x:c>
      <x:c r="R9" s="1"/>
      <x:c r="S9" t="str">
        <x:v>18%</x:v>
      </x:c>
      <x:c r="T9" s="9" t="n">
        <x:v>65000</x:v>
      </x:c>
      <x:c r="U9" s="9" t="n">
        <x:v>5850</x:v>
      </x:c>
      <x:c r="V9" s="9" t="n">
        <x:v>5850</x:v>
      </x:c>
      <x:c r="W9" s="9" t="n">
        <x:v>0</x:v>
      </x:c>
      <x:c r="X9" s="9" t="n">
        <x:f>IF(O9="Yes",T9*VALUE(LEFT(S9,LEN(S9)-1))/100,0)</x:f>
        <x:v>0</x:v>
      </x:c>
      <x:c r="Y9" s="9" t="n">
        <x:v>76700</x:v>
      </x:c>
      <x:c r="Z9" t="str">
        <x:f>IF(O9="Yes","RCM - recipient to pay",IF(M9=LEFT(D9,2)&amp;"",IF(W9&gt;0,"Intra-state: CGST/SGST","Check tax split"),IF(W9&gt;0,"Inter-state: IGST","Check tax split")))</x:f>
        <x:v>Check tax split</x:v>
      </x:c>
      <x:c r="AA9" t="str"/>
      <x:c r="AB9" t="str">
        <x:v>Not verified</x:v>
      </x:c>
      <x:c r="AC9" t="str">
        <x:v>Review</x:v>
      </x:c>
      <x:c r="AD9" t="str">
        <x:f>IF(R9&lt;&gt;"",IF(R9&lt;=L9+180,"Paid within 180 days","Over 180 days - reverse ITC"),IF($B$1="","Payment evidence needed",IF($B$1&gt;L9+180,"Over 180 days - payment evidence needed","Payment evidence needed")))</x:f>
        <x:v>Payment evidence needed</x:v>
      </x:c>
      <x:c r="AE9" t="str">
        <x:v>Rent</x:v>
      </x:c>
      <x:c r="AF9" t="str">
        <x:v>194I</x:v>
      </x:c>
      <x:c r="AG9" t="str">
        <x:v>393(1) resident-payee table</x:v>
      </x:c>
      <x:c r="AH9" t="str">
        <x:v>2%</x:v>
      </x:c>
      <x:c r="AI9" s="10" t="n">
        <x:v>65000</x:v>
      </x:c>
      <x:c r="AJ9" s="9" t="n">
        <x:f>IFERROR(IF(AH9="Review","",AI9*VALUE(LEFT(AH9,FIND("%",AH9)-1))/100),"")</x:f>
        <x:v>1300</x:v>
      </x:c>
      <x:c r="AK9" s="9"/>
      <x:c r="AL9" s="9"/>
      <x:c r="AM9" s="9" t="str">
        <x:v>Not verified</x:v>
      </x:c>
      <x:c r="AN9" t="str">
        <x:v>Not applicable</x:v>
      </x:c>
      <x:c r="AO9" t="str">
        <x:f>IF(J9="", "Not MSME", IF(R9&lt;&gt;"", IF(R9&lt;=L9+45,"Paid within 45 days","Over 45 days"), IF($B$1&gt;L9+45,"Payment evidence needed","Within 45-day window")))</x:f>
        <x:v>Within 45-day window</x:v>
      </x:c>
      <x:c r="AP9" t="str">
        <x:f>IF(OR(G9="Mismatch",AD9="Over 180 days - reverse ITC",AO9="Over 45 days",AN9="Required"),"High risk",IF(OR(H9="Not verified",AB9="Not verified",AC9="Review",AK9="",AM9="Not verified"),"Needs attention","Compliant"))</x:f>
        <x:v>Needs attention</x:v>
      </x:c>
      <x:c r="AQ9" t="str">
        <x:v>Confirm asset type and annual threshold</x:v>
      </x:c>
    </x:row>
    <x:row r="10" ht="15" hidden="0" customHeight="1">
      <x:c r="A10" s="32" t="str">
        <x:v>INV-009</x:v>
      </x:c>
      <x:c r="B10" t="str">
        <x:v>INV09_PowerGen_Hire_Services.pdf</x:v>
      </x:c>
      <x:c r="C10" t="str">
        <x:v>PowerGen Hire Services (Prop. Manoj Yadav)</x:v>
      </x:c>
      <x:c r="D10" s="8" t="str">
        <x:v>09BHMPY7703C1ZY</x:v>
      </x:c>
      <x:c r="E10" s="8" t="str">
        <x:v>BHMPY7703C</x:v>
      </x:c>
      <x:c r="F10" t="str">
        <x:f>IF(AND(LEN(D10)=15,ISNUMBER(--LEFT(D10,2))),"Format OK","Check format")</x:f>
        <x:v>Format OK</x:v>
      </x:c>
      <x:c r="G10" t="str">
        <x:f>IF(AND(LEN(E10)=10,MID(D10,3,10)=E10),"Matches","Mismatch")</x:f>
        <x:v>Matches</x:v>
      </x:c>
      <x:c r="H10" t="str">
        <x:v>Not verified</x:v>
      </x:c>
      <x:c r="I10" t="str">
        <x:v>UDYAM-UP-28-0154420</x:v>
      </x:c>
      <x:c r="J10" t="str">
        <x:v>Micro Enterprise (Services)</x:v>
      </x:c>
      <x:c r="K10" t="str">
        <x:v>PGH/UP/221</x:v>
      </x:c>
      <x:c r="L10" s="1" t="d">
        <x:v>2026-09-30T00:00:00.000Z</x:v>
      </x:c>
      <x:c r="M10" t="str">
        <x:v>Delhi (07)</x:v>
      </x:c>
      <x:c r="N10" t="str">
        <x:v>09</x:v>
      </x:c>
      <x:c r="O10" t="str">
        <x:v>No</x:v>
      </x:c>
      <x:c r="P10" t="str">
        <x:v>30 days from invoice date</x:v>
      </x:c>
      <x:c r="Q10" s="1" t="n">
        <x:f>IFERROR(L10+VALUE(LEFT(P10,FIND(" ",P10)-1)),"")</x:f>
        <x:v>46325</x:v>
      </x:c>
      <x:c r="R10" s="1"/>
      <x:c r="S10" t="str">
        <x:v>18%</x:v>
      </x:c>
      <x:c r="T10" s="9" t="n">
        <x:v>72000</x:v>
      </x:c>
      <x:c r="U10" s="9" t="n">
        <x:v>0</x:v>
      </x:c>
      <x:c r="V10" s="9" t="n">
        <x:v>0</x:v>
      </x:c>
      <x:c r="W10" s="9" t="n">
        <x:v>12960</x:v>
      </x:c>
      <x:c r="X10" s="9" t="n">
        <x:f>IF(O10="Yes",T10*VALUE(LEFT(S10,LEN(S10)-1))/100,0)</x:f>
        <x:v>0</x:v>
      </x:c>
      <x:c r="Y10" s="9" t="n">
        <x:v>84960</x:v>
      </x:c>
      <x:c r="Z10" t="str">
        <x:f>IF(O10="Yes","RCM - recipient to pay",IF(M10=LEFT(D10,2)&amp;"",IF(W10&gt;0,"Intra-state: CGST/SGST","Check tax split"),IF(W10&gt;0,"Inter-state: IGST","Check tax split")))</x:f>
        <x:v>Inter-state: IGST</x:v>
      </x:c>
      <x:c r="AA10" t="str"/>
      <x:c r="AB10" t="str">
        <x:v>Not verified</x:v>
      </x:c>
      <x:c r="AC10" t="str">
        <x:v>Review</x:v>
      </x:c>
      <x:c r="AD10" t="str">
        <x:f>IF(R10&lt;&gt;"",IF(R10&lt;=L10+180,"Paid within 180 days","Over 180 days - reverse ITC"),IF($B$1="","Payment evidence needed",IF($B$1&gt;L10+180,"Over 180 days - payment evidence needed","Payment evidence needed")))</x:f>
        <x:v>Payment evidence needed</x:v>
      </x:c>
      <x:c r="AE10" t="str">
        <x:v>Contract / work</x:v>
      </x:c>
      <x:c r="AF10" t="str">
        <x:v>194C</x:v>
      </x:c>
      <x:c r="AG10" t="str">
        <x:v>393(1) [Table: Sl. No. 6(i)]</x:v>
      </x:c>
      <x:c r="AH10" t="str">
        <x:v>2%</x:v>
      </x:c>
      <x:c r="AI10" s="10" t="n">
        <x:v>72000</x:v>
      </x:c>
      <x:c r="AJ10" s="9" t="n">
        <x:f>IFERROR(IF(AH10="Review","",AI10*VALUE(LEFT(AH10,FIND("%",AH10)-1))/100),"")</x:f>
        <x:v>1440</x:v>
      </x:c>
      <x:c r="AK10" s="9"/>
      <x:c r="AL10" s="9"/>
      <x:c r="AM10" s="9" t="str">
        <x:v>Not verified</x:v>
      </x:c>
      <x:c r="AN10" t="str">
        <x:v>Not applicable</x:v>
      </x:c>
      <x:c r="AO10" t="str">
        <x:f>IF(J10="", "Not MSME", IF(R10&lt;&gt;"", IF(R10&lt;=L10+45,"Paid within 45 days","Over 45 days"), IF($B$1&gt;L10+45,"Payment evidence needed","Within 45-day window")))</x:f>
        <x:v>Within 45-day window</x:v>
      </x:c>
      <x:c r="AP10" t="str">
        <x:f>IF(OR(G10="Mismatch",AD10="Over 180 days - reverse ITC",AO10="Over 45 days",AN10="Required"),"High risk",IF(OR(H10="Not verified",AB10="Not verified",AC10="Review",AK10="",AM10="Not verified"),"Needs attention","Compliant"))</x:f>
        <x:v>Needs attention</x:v>
      </x:c>
      <x:c r="AQ10" t="str">
        <x:v>Confirm payee constitution; individual/HUF rate may be 1%</x:v>
      </x:c>
    </x:row>
    <x:row r="11" ht="15" hidden="0" customHeight="1">
      <x:c r="A11" s="32" t="str">
        <x:v>INV-010</x:v>
      </x:c>
      <x:c r="B11" t="str">
        <x:v>INV10_Kapoor_Properties.pdf</x:v>
      </x:c>
      <x:c r="C11" t="str">
        <x:v>Kapoor Properties (HUF)</x:v>
      </x:c>
      <x:c r="D11" s="8" t="str">
        <x:v>07AAEHK2045B1ZT</x:v>
      </x:c>
      <x:c r="E11" s="8" t="str">
        <x:v>AAEHK2045B</x:v>
      </x:c>
      <x:c r="F11" t="str">
        <x:f>IF(AND(LEN(D11)=15,ISNUMBER(--LEFT(D11,2))),"Format OK","Check format")</x:f>
        <x:v>Format OK</x:v>
      </x:c>
      <x:c r="G11" t="str">
        <x:f>IF(AND(LEN(E11)=10,MID(D11,3,10)=E11),"Matches","Mismatch")</x:f>
        <x:v>Matches</x:v>
      </x:c>
      <x:c r="H11" t="str">
        <x:v>Not verified</x:v>
      </x:c>
      <x:c r="I11" t="str"/>
      <x:c r="J11" t="str"/>
      <x:c r="K11" t="str">
        <x:v>KP/2026/10</x:v>
      </x:c>
      <x:c r="L11" s="1" t="d">
        <x:v>2026-10-03T00:00:00.000Z</x:v>
      </x:c>
      <x:c r="M11" t="str">
        <x:v>Delhi (07)</x:v>
      </x:c>
      <x:c r="N11" t="str">
        <x:v>07</x:v>
      </x:c>
      <x:c r="O11" t="str">
        <x:v>No</x:v>
      </x:c>
      <x:c r="P11" t="str"/>
      <x:c r="Q11" s="1" t="str">
        <x:f>IFERROR(L11+VALUE(LEFT(P11,FIND(" ",P11)-1)),"")</x:f>
      </x:c>
      <x:c r="R11" s="1"/>
      <x:c r="S11" t="str">
        <x:v>18%</x:v>
      </x:c>
      <x:c r="T11" s="9" t="n">
        <x:v>42000</x:v>
      </x:c>
      <x:c r="U11" s="9" t="n">
        <x:v>3780</x:v>
      </x:c>
      <x:c r="V11" s="9" t="n">
        <x:v>3780</x:v>
      </x:c>
      <x:c r="W11" s="9" t="n">
        <x:v>0</x:v>
      </x:c>
      <x:c r="X11" s="9" t="n">
        <x:f>IF(O11="Yes",T11*VALUE(LEFT(S11,LEN(S11)-1))/100,0)</x:f>
        <x:v>0</x:v>
      </x:c>
      <x:c r="Y11" s="9" t="n">
        <x:v>49560</x:v>
      </x:c>
      <x:c r="Z11" t="str">
        <x:f>IF(O11="Yes","RCM - recipient to pay",IF(M11=LEFT(D11,2)&amp;"",IF(W11&gt;0,"Intra-state: CGST/SGST","Check tax split"),IF(W11&gt;0,"Inter-state: IGST","Check tax split")))</x:f>
        <x:v>Check tax split</x:v>
      </x:c>
      <x:c r="AA11" t="str"/>
      <x:c r="AB11" t="str">
        <x:v>Not verified</x:v>
      </x:c>
      <x:c r="AC11" t="str">
        <x:v>Review</x:v>
      </x:c>
      <x:c r="AD11" t="str">
        <x:f>IF(R11&lt;&gt;"",IF(R11&lt;=L11+180,"Paid within 180 days","Over 180 days - reverse ITC"),IF($B$1="","Payment evidence needed",IF($B$1&gt;L11+180,"Over 180 days - payment evidence needed","Payment evidence needed")))</x:f>
        <x:v>Payment evidence needed</x:v>
      </x:c>
      <x:c r="AE11" t="str">
        <x:v>Rent</x:v>
      </x:c>
      <x:c r="AF11" t="str">
        <x:v>194I</x:v>
      </x:c>
      <x:c r="AG11" t="str">
        <x:v>393(1) resident-payee table</x:v>
      </x:c>
      <x:c r="AH11" t="str">
        <x:v>10%</x:v>
      </x:c>
      <x:c r="AI11" s="10" t="n">
        <x:v>42000</x:v>
      </x:c>
      <x:c r="AJ11" s="9" t="n">
        <x:f>IFERROR(IF(AH11="Review","",AI11*VALUE(LEFT(AH11,FIND("%",AH11)-1))/100),"")</x:f>
        <x:v>4200</x:v>
      </x:c>
      <x:c r="AK11" s="9"/>
      <x:c r="AL11" s="9"/>
      <x:c r="AM11" s="9" t="str">
        <x:v>Not verified</x:v>
      </x:c>
      <x:c r="AN11" t="str">
        <x:v>Not applicable</x:v>
      </x:c>
      <x:c r="AO11" t="str">
        <x:f>IF(J11="", "Not MSME", IF(R11&lt;&gt;"", IF(R11&lt;=L11+45,"Paid within 45 days","Over 45 days"), IF($B$1&gt;L11+45,"Payment evidence needed","Within 45-day window")))</x:f>
        <x:v>Not MSME</x:v>
      </x:c>
      <x:c r="AP11" t="str">
        <x:f>IF(OR(G11="Mismatch",AD11="Over 180 days - reverse ITC",AO11="Over 45 days",AN11="Required"),"High risk",IF(OR(H11="Not verified",AB11="Not verified",AC11="Review",AK11="",AM11="Not verified"),"Needs attention","Compliant"))</x:f>
        <x:v>Needs attention</x:v>
      </x:c>
      <x:c r="AQ11" t="str">
        <x:v>Confirm asset type and annual threshold</x:v>
      </x:c>
    </x:row>
    <x:row r="12" ht="15" hidden="0" customHeight="1">
      <x:c r="A12" s="32" t="str">
        <x:v>INV-011</x:v>
      </x:c>
      <x:c r="B12" t="str">
        <x:v>INV11_RouteOne_Cabs_Private_Limited.pdf</x:v>
      </x:c>
      <x:c r="C12" t="str">
        <x:v>RouteOne Cabs Private Limited</x:v>
      </x:c>
      <x:c r="D12" s="8" t="str">
        <x:v>07AAICR6610G1ZF</x:v>
      </x:c>
      <x:c r="E12" s="8" t="str">
        <x:v>AAICR6610G</x:v>
      </x:c>
      <x:c r="F12" t="str">
        <x:f>IF(AND(LEN(D12)=15,ISNUMBER(--LEFT(D12,2))),"Format OK","Check format")</x:f>
        <x:v>Format OK</x:v>
      </x:c>
      <x:c r="G12" t="str">
        <x:f>IF(AND(LEN(E12)=10,MID(D12,3,10)=E12),"Matches","Mismatch")</x:f>
        <x:v>Matches</x:v>
      </x:c>
      <x:c r="H12" t="str">
        <x:v>Not verified</x:v>
      </x:c>
      <x:c r="I12" t="str">
        <x:v>UDYAM-DL-06-0099018</x:v>
      </x:c>
      <x:c r="J12" t="str">
        <x:v>Small Enterprise (Services)</x:v>
      </x:c>
      <x:c r="K12" t="str">
        <x:v>R1C/DEL/2627/0588</x:v>
      </x:c>
      <x:c r="L12" s="1" t="d">
        <x:v>2026-10-02T00:00:00.000Z</x:v>
      </x:c>
      <x:c r="M12" t="str">
        <x:v>Delhi (07)</x:v>
      </x:c>
      <x:c r="N12" t="str">
        <x:v>07</x:v>
      </x:c>
      <x:c r="O12" t="str">
        <x:v>No</x:v>
      </x:c>
      <x:c r="P12" t="str">
        <x:v>30 days from invoice date</x:v>
      </x:c>
      <x:c r="Q12" s="1" t="n">
        <x:f>IFERROR(L12+VALUE(LEFT(P12,FIND(" ",P12)-1)),"")</x:f>
        <x:v>46327</x:v>
      </x:c>
      <x:c r="R12" s="1"/>
      <x:c r="S12" t="str">
        <x:v>5%</x:v>
      </x:c>
      <x:c r="T12" s="9" t="n">
        <x:v>145000</x:v>
      </x:c>
      <x:c r="U12" s="9" t="n">
        <x:v>3625</x:v>
      </x:c>
      <x:c r="V12" s="9" t="n">
        <x:v>3625</x:v>
      </x:c>
      <x:c r="W12" s="9" t="n">
        <x:v>0</x:v>
      </x:c>
      <x:c r="X12" s="9" t="n">
        <x:f>IF(O12="Yes",T12*VALUE(LEFT(S12,LEN(S12)-1))/100,0)</x:f>
        <x:v>0</x:v>
      </x:c>
      <x:c r="Y12" s="9" t="n">
        <x:v>152250</x:v>
      </x:c>
      <x:c r="Z12" t="str">
        <x:f>IF(O12="Yes","RCM - recipient to pay",IF(M12=LEFT(D12,2)&amp;"",IF(W12&gt;0,"Intra-state: CGST/SGST","Check tax split"),IF(W12&gt;0,"Inter-state: IGST","Check tax split")))</x:f>
        <x:v>Check tax split</x:v>
      </x:c>
      <x:c r="AA12" t="str"/>
      <x:c r="AB12" t="str">
        <x:v>Not verified</x:v>
      </x:c>
      <x:c r="AC12" t="str">
        <x:v>Review</x:v>
      </x:c>
      <x:c r="AD12" t="str">
        <x:f>IF(R12&lt;&gt;"",IF(R12&lt;=L12+180,"Paid within 180 days","Over 180 days - reverse ITC"),IF($B$1="","Payment evidence needed",IF($B$1&gt;L12+180,"Over 180 days - payment evidence needed","Payment evidence needed")))</x:f>
        <x:v>Payment evidence needed</x:v>
      </x:c>
      <x:c r="AE12" t="str">
        <x:v>Contract / work</x:v>
      </x:c>
      <x:c r="AF12" t="str">
        <x:v>194C</x:v>
      </x:c>
      <x:c r="AG12" t="str">
        <x:v>393(1) [Table: Sl. No. 6(i)]</x:v>
      </x:c>
      <x:c r="AH12" t="str">
        <x:v>2%</x:v>
      </x:c>
      <x:c r="AI12" s="10" t="n">
        <x:v>145000</x:v>
      </x:c>
      <x:c r="AJ12" s="9" t="n">
        <x:f>IFERROR(IF(AH12="Review","",AI12*VALUE(LEFT(AH12,FIND("%",AH12)-1))/100),"")</x:f>
        <x:v>2900</x:v>
      </x:c>
      <x:c r="AK12" s="9"/>
      <x:c r="AL12" s="9"/>
      <x:c r="AM12" s="9" t="str">
        <x:v>Not verified</x:v>
      </x:c>
      <x:c r="AN12" t="str">
        <x:v>Not applicable</x:v>
      </x:c>
      <x:c r="AO12" t="str">
        <x:f>IF(J12="", "Not MSME", IF(R12&lt;&gt;"", IF(R12&lt;=L12+45,"Paid within 45 days","Over 45 days"), IF($B$1&gt;L12+45,"Payment evidence needed","Within 45-day window")))</x:f>
        <x:v>Within 45-day window</x:v>
      </x:c>
      <x:c r="AP12" t="str">
        <x:f>IF(OR(G12="Mismatch",AD12="Over 180 days - reverse ITC",AO12="Over 45 days",AN12="Required"),"High risk",IF(OR(H12="Not verified",AB12="Not verified",AC12="Review",AK12="",AM12="Not verified"),"Needs attention","Compliant"))</x:f>
        <x:v>Needs attention</x:v>
      </x:c>
      <x:c r="AQ12" t="str">
        <x:v>Confirm payee constitution; individual/HUF rate may be 1%</x:v>
      </x:c>
    </x:row>
    <x:row r="13" ht="15" hidden="0" customHeight="1">
      <x:c r="A13" s="32" t="str">
        <x:v>INV-012</x:v>
      </x:c>
      <x:c r="B13" t="str">
        <x:v>INV12_Balaji_Roadlines.pdf</x:v>
      </x:c>
      <x:c r="C13" t="str">
        <x:v>Balaji Roadlines (Prop. Ramesh Chand)</x:v>
      </x:c>
      <x:c r="D13" s="8" t="str">
        <x:v>06AYKPC4471J1ZC</x:v>
      </x:c>
      <x:c r="E13" s="8" t="str">
        <x:v>AYKPC4471J</x:v>
      </x:c>
      <x:c r="F13" t="str">
        <x:f>IF(AND(LEN(D13)=15,ISNUMBER(--LEFT(D13,2))),"Format OK","Check format")</x:f>
        <x:v>Format OK</x:v>
      </x:c>
      <x:c r="G13" t="str">
        <x:f>IF(AND(LEN(E13)=10,MID(D13,3,10)=E13),"Matches","Mismatch")</x:f>
        <x:v>Matches</x:v>
      </x:c>
      <x:c r="H13" t="str">
        <x:v>Not verified</x:v>
      </x:c>
      <x:c r="I13" t="str">
        <x:v>UDYAM-HR-05-0040917</x:v>
      </x:c>
      <x:c r="J13" t="str">
        <x:v>Micro Enterprise (Services)</x:v>
      </x:c>
      <x:c r="K13" t="str">
        <x:v>BRL/GGN/0162</x:v>
      </x:c>
      <x:c r="L13" s="1" t="d">
        <x:v>2026-07-08T00:00:00.000Z</x:v>
      </x:c>
      <x:c r="M13" t="str">
        <x:v>Delhi (07)</x:v>
      </x:c>
      <x:c r="N13" t="str">
        <x:v>06</x:v>
      </x:c>
      <x:c r="O13" t="str">
        <x:v>Yes</x:v>
      </x:c>
      <x:c r="P13" t="str"/>
      <x:c r="Q13" s="1" t="str">
        <x:f>IFERROR(L13+VALUE(LEFT(P13,FIND(" ",P13)-1)),"")</x:f>
      </x:c>
      <x:c r="R13" s="1"/>
      <x:c r="S13" t="str">
        <x:v>5%</x:v>
      </x:c>
      <x:c r="T13" s="9" t="n">
        <x:v>68000</x:v>
      </x:c>
      <x:c r="U13" s="9" t="n">
        <x:v>0</x:v>
      </x:c>
      <x:c r="V13" s="9" t="n">
        <x:v>0</x:v>
      </x:c>
      <x:c r="W13" s="9" t="n">
        <x:v>0</x:v>
      </x:c>
      <x:c r="X13" s="9" t="n">
        <x:f>IF(O13="Yes",T13*VALUE(LEFT(S13,LEN(S13)-1))/100,0)</x:f>
        <x:v>3400</x:v>
      </x:c>
      <x:c r="Y13" s="9" t="n">
        <x:v>68000</x:v>
      </x:c>
      <x:c r="Z13" t="str">
        <x:f>IF(O13="Yes","RCM - recipient to pay",IF(M13=LEFT(D13,2)&amp;"",IF(W13&gt;0,"Intra-state: CGST/SGST","Check tax split"),IF(W13&gt;0,"Inter-state: IGST","Check tax split")))</x:f>
        <x:v>RCM - recipient to pay</x:v>
      </x:c>
      <x:c r="AA13" t="str"/>
      <x:c r="AB13" t="str">
        <x:v>Not verified</x:v>
      </x:c>
      <x:c r="AC13" t="str">
        <x:v>Review</x:v>
      </x:c>
      <x:c r="AD13" t="str">
        <x:f>IF(R13&lt;&gt;"",IF(R13&lt;=L13+180,"Paid within 180 days","Over 180 days - reverse ITC"),IF($B$1="","Payment evidence needed",IF($B$1&gt;L13+180,"Over 180 days - payment evidence needed","Payment evidence needed")))</x:f>
        <x:v>Payment evidence needed</x:v>
      </x:c>
      <x:c r="AE13" t="str">
        <x:v>Contract / work</x:v>
      </x:c>
      <x:c r="AF13" t="str">
        <x:v>194C</x:v>
      </x:c>
      <x:c r="AG13" t="str">
        <x:v>393(1) [Table: Sl. No. 6(i)]</x:v>
      </x:c>
      <x:c r="AH13" t="str">
        <x:v>2%</x:v>
      </x:c>
      <x:c r="AI13" s="10" t="n">
        <x:v>68000</x:v>
      </x:c>
      <x:c r="AJ13" s="9" t="n">
        <x:f>IFERROR(IF(AH13="Review","",AI13*VALUE(LEFT(AH13,FIND("%",AH13)-1))/100),"")</x:f>
        <x:v>1360</x:v>
      </x:c>
      <x:c r="AK13" s="9"/>
      <x:c r="AL13" s="9"/>
      <x:c r="AM13" s="9" t="str">
        <x:v>Not verified</x:v>
      </x:c>
      <x:c r="AN13" t="str">
        <x:v>Not applicable</x:v>
      </x:c>
      <x:c r="AO13" t="str">
        <x:f>IF(J13="", "Not MSME", IF(R13&lt;&gt;"", IF(R13&lt;=L13+45,"Paid within 45 days","Over 45 days"), IF($B$1&gt;L13+45,"Payment evidence needed","Within 45-day window")))</x:f>
        <x:v>Payment evidence needed</x:v>
      </x:c>
      <x:c r="AP13" t="str">
        <x:f>IF(OR(G13="Mismatch",AD13="Over 180 days - reverse ITC",AO13="Over 45 days",AN13="Required"),"High risk",IF(OR(H13="Not verified",AB13="Not verified",AC13="Review",AK13="",AM13="Not verified"),"Needs attention","Compliant"))</x:f>
        <x:v>Needs attention</x:v>
      </x:c>
      <x:c r="AQ13" t="str">
        <x:v>Confirm payee constitution; individual/HUF rate may be 1%</x:v>
      </x:c>
    </x:row>
    <x:row r="14" ht="15" hidden="0" customHeight="1">
      <x:c r="A14" s="32" t="str">
        <x:v>INV-013</x:v>
      </x:c>
      <x:c r="B14" t="str">
        <x:v>INV13_Shree_Cargo_Movers_Private_Lim.pdf</x:v>
      </x:c>
      <x:c r="C14" t="str">
        <x:v>Shree Cargo Movers Private Limited</x:v>
      </x:c>
      <x:c r="D14" s="8" t="str">
        <x:v>27AAKCS1902P1ZY</x:v>
      </x:c>
      <x:c r="E14" s="8" t="str">
        <x:v>AAKCS1902P</x:v>
      </x:c>
      <x:c r="F14" t="str">
        <x:f>IF(AND(LEN(D14)=15,ISNUMBER(--LEFT(D14,2))),"Format OK","Check format")</x:f>
        <x:v>Format OK</x:v>
      </x:c>
      <x:c r="G14" t="str">
        <x:f>IF(AND(LEN(E14)=10,MID(D14,3,10)=E14),"Matches","Mismatch")</x:f>
        <x:v>Matches</x:v>
      </x:c>
      <x:c r="H14" t="str">
        <x:v>Not verified</x:v>
      </x:c>
      <x:c r="I14" t="str">
        <x:v>UDYAM-MH-33-0187770</x:v>
      </x:c>
      <x:c r="J14" t="str">
        <x:v>Medium Enterprise (Services)</x:v>
      </x:c>
      <x:c r="K14" t="str">
        <x:v>SCM/MH/26/1907</x:v>
      </x:c>
      <x:c r="L14" s="1" t="d">
        <x:v>2026-07-20T00:00:00.000Z</x:v>
      </x:c>
      <x:c r="M14" t="str">
        <x:v>Delhi (07)</x:v>
      </x:c>
      <x:c r="N14" t="str">
        <x:v>27</x:v>
      </x:c>
      <x:c r="O14" t="str">
        <x:v>No</x:v>
      </x:c>
      <x:c r="P14" t="str">
        <x:v>30 days from invoice date</x:v>
      </x:c>
      <x:c r="Q14" s="1" t="n">
        <x:f>IFERROR(L14+VALUE(LEFT(P14,FIND(" ",P14)-1)),"")</x:f>
        <x:v>46253</x:v>
      </x:c>
      <x:c r="R14" s="1"/>
      <x:c r="S14" t="str">
        <x:v>18%</x:v>
      </x:c>
      <x:c r="T14" s="9" t="n">
        <x:v>115000</x:v>
      </x:c>
      <x:c r="U14" s="9" t="n">
        <x:v>0</x:v>
      </x:c>
      <x:c r="V14" s="9" t="n">
        <x:v>0</x:v>
      </x:c>
      <x:c r="W14" s="9" t="n">
        <x:v>20700</x:v>
      </x:c>
      <x:c r="X14" s="9" t="n">
        <x:f>IF(O14="Yes",T14*VALUE(LEFT(S14,LEN(S14)-1))/100,0)</x:f>
        <x:v>0</x:v>
      </x:c>
      <x:c r="Y14" s="9" t="n">
        <x:v>135700</x:v>
      </x:c>
      <x:c r="Z14" t="str">
        <x:f>IF(O14="Yes","RCM - recipient to pay",IF(M14=LEFT(D14,2)&amp;"",IF(W14&gt;0,"Intra-state: CGST/SGST","Check tax split"),IF(W14&gt;0,"Inter-state: IGST","Check tax split")))</x:f>
        <x:v>Inter-state: IGST</x:v>
      </x:c>
      <x:c r="AA14" t="str"/>
      <x:c r="AB14" t="str">
        <x:v>Not verified</x:v>
      </x:c>
      <x:c r="AC14" t="str">
        <x:v>Review</x:v>
      </x:c>
      <x:c r="AD14" t="str">
        <x:f>IF(R14&lt;&gt;"",IF(R14&lt;=L14+180,"Paid within 180 days","Over 180 days - reverse ITC"),IF($B$1="","Payment evidence needed",IF($B$1&gt;L14+180,"Over 180 days - payment evidence needed","Payment evidence needed")))</x:f>
        <x:v>Payment evidence needed</x:v>
      </x:c>
      <x:c r="AE14" t="str">
        <x:v>Contract / work</x:v>
      </x:c>
      <x:c r="AF14" t="str">
        <x:v>194C</x:v>
      </x:c>
      <x:c r="AG14" t="str">
        <x:v>393(1) [Table: Sl. No. 6(i)]</x:v>
      </x:c>
      <x:c r="AH14" t="str">
        <x:v>2%</x:v>
      </x:c>
      <x:c r="AI14" s="10" t="n">
        <x:v>115000</x:v>
      </x:c>
      <x:c r="AJ14" s="9" t="n">
        <x:f>IFERROR(IF(AH14="Review","",AI14*VALUE(LEFT(AH14,FIND("%",AH14)-1))/100),"")</x:f>
        <x:v>2300</x:v>
      </x:c>
      <x:c r="AK14" s="9"/>
      <x:c r="AL14" s="9"/>
      <x:c r="AM14" s="9" t="str">
        <x:v>Not verified</x:v>
      </x:c>
      <x:c r="AN14" t="str">
        <x:v>Not applicable</x:v>
      </x:c>
      <x:c r="AO14" t="str">
        <x:f>IF(J14="", "Not MSME", IF(R14&lt;&gt;"", IF(R14&lt;=L14+45,"Paid within 45 days","Over 45 days"), IF($B$1&gt;L14+45,"Payment evidence needed","Within 45-day window")))</x:f>
        <x:v>Payment evidence needed</x:v>
      </x:c>
      <x:c r="AP14" t="str">
        <x:f>IF(OR(G14="Mismatch",AD14="Over 180 days - reverse ITC",AO14="Over 45 days",AN14="Required"),"High risk",IF(OR(H14="Not verified",AB14="Not verified",AC14="Review",AK14="",AM14="Not verified"),"Needs attention","Compliant"))</x:f>
        <x:v>Needs attention</x:v>
      </x:c>
      <x:c r="AQ14" t="str">
        <x:v>Confirm payee constitution; individual/HUF rate may be 1%</x:v>
      </x:c>
    </x:row>
    <x:row r="15" ht="15" hidden="0" customHeight="1">
      <x:c r="A15" s="32" t="str">
        <x:v>INV-014</x:v>
      </x:c>
      <x:c r="B15" t="str">
        <x:v>INV14_Swift_Courier_Logistics_Privat.pdf</x:v>
      </x:c>
      <x:c r="C15" t="str">
        <x:v>Swift Courier &amp; Logistics Private Limited</x:v>
      </x:c>
      <x:c r="D15" s="8" t="str">
        <x:v>07AAGCS5578F1Z1</x:v>
      </x:c>
      <x:c r="E15" s="8" t="str">
        <x:v>AAGCS5578F</x:v>
      </x:c>
      <x:c r="F15" t="str">
        <x:f>IF(AND(LEN(D15)=15,ISNUMBER(--LEFT(D15,2))),"Format OK","Check format")</x:f>
        <x:v>Format OK</x:v>
      </x:c>
      <x:c r="G15" t="str">
        <x:f>IF(AND(LEN(E15)=10,MID(D15,3,10)=E15),"Matches","Mismatch")</x:f>
        <x:v>Matches</x:v>
      </x:c>
      <x:c r="H15" t="str">
        <x:v>Not verified</x:v>
      </x:c>
      <x:c r="I15" t="str"/>
      <x:c r="J15" t="str"/>
      <x:c r="K15" t="str">
        <x:v>SWC/DL/09-26/311</x:v>
      </x:c>
      <x:c r="L15" s="1" t="d">
        <x:v>2026-10-05T00:00:00.000Z</x:v>
      </x:c>
      <x:c r="M15" t="str">
        <x:v>Delhi (07)</x:v>
      </x:c>
      <x:c r="N15" t="str">
        <x:v>07</x:v>
      </x:c>
      <x:c r="O15" t="str">
        <x:v>No</x:v>
      </x:c>
      <x:c r="P15" t="str"/>
      <x:c r="Q15" s="1" t="str">
        <x:f>IFERROR(L15+VALUE(LEFT(P15,FIND(" ",P15)-1)),"")</x:f>
      </x:c>
      <x:c r="R15" s="1"/>
      <x:c r="S15" t="str">
        <x:v>18%</x:v>
      </x:c>
      <x:c r="T15" s="9" t="n">
        <x:v>54000</x:v>
      </x:c>
      <x:c r="U15" s="9" t="n">
        <x:v>4860</x:v>
      </x:c>
      <x:c r="V15" s="9" t="n">
        <x:v>4860</x:v>
      </x:c>
      <x:c r="W15" s="9" t="n">
        <x:v>0</x:v>
      </x:c>
      <x:c r="X15" s="9" t="n">
        <x:f>IF(O15="Yes",T15*VALUE(LEFT(S15,LEN(S15)-1))/100,0)</x:f>
        <x:v>0</x:v>
      </x:c>
      <x:c r="Y15" s="9" t="n">
        <x:v>63720</x:v>
      </x:c>
      <x:c r="Z15" t="str">
        <x:f>IF(O15="Yes","RCM - recipient to pay",IF(M15=LEFT(D15,2)&amp;"",IF(W15&gt;0,"Intra-state: CGST/SGST","Check tax split"),IF(W15&gt;0,"Inter-state: IGST","Check tax split")))</x:f>
        <x:v>Check tax split</x:v>
      </x:c>
      <x:c r="AA15" t="str"/>
      <x:c r="AB15" t="str">
        <x:v>Not verified</x:v>
      </x:c>
      <x:c r="AC15" t="str">
        <x:v>Review</x:v>
      </x:c>
      <x:c r="AD15" t="str">
        <x:f>IF(R15&lt;&gt;"",IF(R15&lt;=L15+180,"Paid within 180 days","Over 180 days - reverse ITC"),IF($B$1="","Payment evidence needed",IF($B$1&gt;L15+180,"Over 180 days - payment evidence needed","Payment evidence needed")))</x:f>
        <x:v>Payment evidence needed</x:v>
      </x:c>
      <x:c r="AE15" t="str">
        <x:v>Contract / work</x:v>
      </x:c>
      <x:c r="AF15" t="str">
        <x:v>194C</x:v>
      </x:c>
      <x:c r="AG15" t="str">
        <x:v>393(1) [Table: Sl. No. 6(i)]</x:v>
      </x:c>
      <x:c r="AH15" t="str">
        <x:v>2%</x:v>
      </x:c>
      <x:c r="AI15" s="10" t="n">
        <x:v>54000</x:v>
      </x:c>
      <x:c r="AJ15" s="9" t="n">
        <x:f>IFERROR(IF(AH15="Review","",AI15*VALUE(LEFT(AH15,FIND("%",AH15)-1))/100),"")</x:f>
        <x:v>1080</x:v>
      </x:c>
      <x:c r="AK15" s="9"/>
      <x:c r="AL15" s="9"/>
      <x:c r="AM15" s="9" t="str">
        <x:v>Not verified</x:v>
      </x:c>
      <x:c r="AN15" t="str">
        <x:v>Not applicable</x:v>
      </x:c>
      <x:c r="AO15" t="str">
        <x:f>IF(J15="", "Not MSME", IF(R15&lt;&gt;"", IF(R15&lt;=L15+45,"Paid within 45 days","Over 45 days"), IF($B$1&gt;L15+45,"Payment evidence needed","Within 45-day window")))</x:f>
        <x:v>Not MSME</x:v>
      </x:c>
      <x:c r="AP15" t="str">
        <x:f>IF(OR(G15="Mismatch",AD15="Over 180 days - reverse ITC",AO15="Over 45 days",AN15="Required"),"High risk",IF(OR(H15="Not verified",AB15="Not verified",AC15="Review",AK15="",AM15="Not verified"),"Needs attention","Compliant"))</x:f>
        <x:v>Needs attention</x:v>
      </x:c>
      <x:c r="AQ15" t="str">
        <x:v>Confirm payee constitution; individual/HUF rate may be 1%</x:v>
      </x:c>
    </x:row>
    <x:row r="16" ht="15" hidden="0" customHeight="1">
      <x:c r="A16" s="32" t="str">
        <x:v>INV-015</x:v>
      </x:c>
      <x:c r="B16" t="str">
        <x:v>INV15_Ankit_Verma.pdf</x:v>
      </x:c>
      <x:c r="C16" t="str">
        <x:v>Ankit Verma (Channel Partner)</x:v>
      </x:c>
      <x:c r="D16" s="8" t="str">
        <x:v>08ALRPV3326K1ZE</x:v>
      </x:c>
      <x:c r="E16" s="8" t="str">
        <x:v>ALRPV3326K</x:v>
      </x:c>
      <x:c r="F16" t="str">
        <x:f>IF(AND(LEN(D16)=15,ISNUMBER(--LEFT(D16,2))),"Format OK","Check format")</x:f>
        <x:v>Format OK</x:v>
      </x:c>
      <x:c r="G16" t="str">
        <x:f>IF(AND(LEN(E16)=10,MID(D16,3,10)=E16),"Matches","Mismatch")</x:f>
        <x:v>Matches</x:v>
      </x:c>
      <x:c r="H16" t="str">
        <x:v>Not verified</x:v>
      </x:c>
      <x:c r="I16" t="str">
        <x:v>UDYAM-RJ-17-0021564</x:v>
      </x:c>
      <x:c r="J16" t="str">
        <x:v>Micro Enterprise (Services)</x:v>
      </x:c>
      <x:c r="K16" t="str">
        <x:v>AV/COM/2026/07</x:v>
      </x:c>
      <x:c r="L16" s="1" t="d">
        <x:v>2026-10-04T00:00:00.000Z</x:v>
      </x:c>
      <x:c r="M16" t="str">
        <x:v>Delhi (07)</x:v>
      </x:c>
      <x:c r="N16" t="str">
        <x:v>08</x:v>
      </x:c>
      <x:c r="O16" t="str">
        <x:v>No</x:v>
      </x:c>
      <x:c r="P16" t="str">
        <x:v>15 days from invoice date</x:v>
      </x:c>
      <x:c r="Q16" s="1" t="n">
        <x:f>IFERROR(L16+VALUE(LEFT(P16,FIND(" ",P16)-1)),"")</x:f>
        <x:v>46314</x:v>
      </x:c>
      <x:c r="R16" s="1"/>
      <x:c r="S16" t="str">
        <x:v>18%</x:v>
      </x:c>
      <x:c r="T16" s="9" t="n">
        <x:v>85000</x:v>
      </x:c>
      <x:c r="U16" s="9" t="n">
        <x:v>0</x:v>
      </x:c>
      <x:c r="V16" s="9" t="n">
        <x:v>0</x:v>
      </x:c>
      <x:c r="W16" s="9" t="n">
        <x:v>15300</x:v>
      </x:c>
      <x:c r="X16" s="9" t="n">
        <x:f>IF(O16="Yes",T16*VALUE(LEFT(S16,LEN(S16)-1))/100,0)</x:f>
        <x:v>0</x:v>
      </x:c>
      <x:c r="Y16" s="9" t="n">
        <x:v>100300</x:v>
      </x:c>
      <x:c r="Z16" t="str">
        <x:f>IF(O16="Yes","RCM - recipient to pay",IF(M16=LEFT(D16,2)&amp;"",IF(W16&gt;0,"Intra-state: CGST/SGST","Check tax split"),IF(W16&gt;0,"Inter-state: IGST","Check tax split")))</x:f>
        <x:v>Inter-state: IGST</x:v>
      </x:c>
      <x:c r="AA16" t="str"/>
      <x:c r="AB16" t="str">
        <x:v>Not verified</x:v>
      </x:c>
      <x:c r="AC16" t="str">
        <x:v>Review</x:v>
      </x:c>
      <x:c r="AD16" t="str">
        <x:f>IF(R16&lt;&gt;"",IF(R16&lt;=L16+180,"Paid within 180 days","Over 180 days - reverse ITC"),IF($B$1="","Payment evidence needed",IF($B$1&gt;L16+180,"Over 180 days - payment evidence needed","Payment evidence needed")))</x:f>
        <x:v>Payment evidence needed</x:v>
      </x:c>
      <x:c r="AE16" t="str">
        <x:v>Commission / brokerage</x:v>
      </x:c>
      <x:c r="AF16" t="str">
        <x:v>194H</x:v>
      </x:c>
      <x:c r="AG16" t="str">
        <x:v>393(1) resident-payee table</x:v>
      </x:c>
      <x:c r="AH16" t="str">
        <x:v>2%</x:v>
      </x:c>
      <x:c r="AI16" s="10" t="n">
        <x:v>85000</x:v>
      </x:c>
      <x:c r="AJ16" s="9" t="n">
        <x:f>IFERROR(IF(AH16="Review","",AI16*VALUE(LEFT(AH16,FIND("%",AH16)-1))/100),"")</x:f>
        <x:v>1700</x:v>
      </x:c>
      <x:c r="AK16" s="9"/>
      <x:c r="AL16" s="9"/>
      <x:c r="AM16" s="9" t="str">
        <x:v>Not verified</x:v>
      </x:c>
      <x:c r="AN16" t="str">
        <x:v>Not applicable</x:v>
      </x:c>
      <x:c r="AO16" t="str">
        <x:f>IF(J16="", "Not MSME", IF(R16&lt;&gt;"", IF(R16&lt;=L16+45,"Paid within 45 days","Over 45 days"), IF($B$1&gt;L16+45,"Payment evidence needed","Within 45-day window")))</x:f>
        <x:v>Within 45-day window</x:v>
      </x:c>
      <x:c r="AP16" t="str">
        <x:f>IF(OR(G16="Mismatch",AD16="Over 180 days - reverse ITC",AO16="Over 45 days",AN16="Required"),"High risk",IF(OR(H16="Not verified",AB16="Not verified",AC16="Review",AK16="",AM16="Not verified"),"Needs attention","Compliant"))</x:f>
        <x:v>Needs attention</x:v>
      </x:c>
      <x:c r="AQ16" t="str">
        <x:v>Commission; confirm aggregate threshold and PAN</x:v>
      </x:c>
    </x:row>
    <x:row r="17" ht="15" hidden="0" customHeight="1">
      <x:c r="A17" s="32" t="str">
        <x:v>INV-016</x:v>
      </x:c>
      <x:c r="B17" t="str">
        <x:v>INV16_Neha_Joshi.pdf</x:v>
      </x:c>
      <x:c r="C17" t="str">
        <x:v>Neha Joshi</x:v>
      </x:c>
      <x:c r="D17" s="8" t="str">
        <x:v>07AAKCN4821Q1ZV</x:v>
      </x:c>
      <x:c r="E17" s="8" t="str">
        <x:v>DMBPJ8854Q</x:v>
      </x:c>
      <x:c r="F17" t="str">
        <x:f>IF(AND(LEN(D17)=15,ISNUMBER(--LEFT(D17,2))),"Format OK","Check format")</x:f>
        <x:v>Format OK</x:v>
      </x:c>
      <x:c r="G17" t="str">
        <x:f>IF(AND(LEN(E17)=10,MID(D17,3,10)=E17),"Matches","Mismatch")</x:f>
        <x:v>Mismatch</x:v>
      </x:c>
      <x:c r="H17" t="str">
        <x:v>Not verified</x:v>
      </x:c>
      <x:c r="I17" t="str"/>
      <x:c r="J17" t="str"/>
      <x:c r="K17" t="str">
        <x:v>NJ-01</x:v>
      </x:c>
      <x:c r="L17" s="1" t="d">
        <x:v>2026-08-14T00:00:00.000Z</x:v>
      </x:c>
      <x:c r="M17" t="str">
        <x:v>Delhi (07)</x:v>
      </x:c>
      <x:c r="N17" t="str">
        <x:v>07</x:v>
      </x:c>
      <x:c r="O17" t="str">
        <x:v>No</x:v>
      </x:c>
      <x:c r="P17" t="str"/>
      <x:c r="Q17" s="1" t="str">
        <x:f>IFERROR(L17+VALUE(LEFT(P17,FIND(" ",P17)-1)),"")</x:f>
      </x:c>
      <x:c r="R17" s="1"/>
      <x:c r="S17" t="str"/>
      <x:c r="T17" s="9"/>
      <x:c r="U17" s="9" t="n">
        <x:v>0</x:v>
      </x:c>
      <x:c r="V17" s="9" t="n">
        <x:v>0</x:v>
      </x:c>
      <x:c r="W17" s="9" t="n">
        <x:v>0</x:v>
      </x:c>
      <x:c r="X17" s="9" t="n">
        <x:f>IF(O17="Yes",T17*VALUE(LEFT(S17,LEN(S17)-1))/100,0)</x:f>
        <x:v>0</x:v>
      </x:c>
      <x:c r="Y17" s="9" t="n">
        <x:v>15000</x:v>
      </x:c>
      <x:c r="Z17" t="str">
        <x:f>IF(O17="Yes","RCM - recipient to pay",IF(M17=LEFT(D17,2)&amp;"",IF(W17&gt;0,"Intra-state: CGST/SGST","Check tax split"),IF(W17&gt;0,"Inter-state: IGST","Check tax split")))</x:f>
        <x:v>Check tax split</x:v>
      </x:c>
      <x:c r="AA17" t="str"/>
      <x:c r="AB17" t="str">
        <x:v>Not verified</x:v>
      </x:c>
      <x:c r="AC17" t="str">
        <x:v>Review</x:v>
      </x:c>
      <x:c r="AD17" t="str">
        <x:f>IF(R17&lt;&gt;"",IF(R17&lt;=L17+180,"Paid within 180 days","Over 180 days - reverse ITC"),IF($B$1="","Payment evidence needed",IF($B$1&gt;L17+180,"Over 180 days - payment evidence needed","Payment evidence needed")))</x:f>
        <x:v>Payment evidence needed</x:v>
      </x:c>
      <x:c r="AE17" t="str">
        <x:v>TDS applicability review</x:v>
      </x:c>
      <x:c r="AF17" t="str">
        <x:v>Review</x:v>
      </x:c>
      <x:c r="AG17" t="str">
        <x:v>393(1) resident-payee table</x:v>
      </x:c>
      <x:c r="AH17" t="str">
        <x:v>Review</x:v>
      </x:c>
      <x:c r="AI17" s="10"/>
      <x:c r="AJ17" s="9" t="str">
        <x:f>IFERROR(IF(AH17="Review","",AI17*VALUE(LEFT(AH17,FIND("%",AH17)-1))/100),"")</x:f>
      </x:c>
      <x:c r="AK17" s="9"/>
      <x:c r="AL17" s="9"/>
      <x:c r="AM17" s="9" t="str">
        <x:v>Not verified</x:v>
      </x:c>
      <x:c r="AN17" t="str">
        <x:v>Not applicable</x:v>
      </x:c>
      <x:c r="AO17" t="str">
        <x:f>IF(J17="", "Not MSME", IF(R17&lt;&gt;"", IF(R17&lt;=L17+45,"Paid within 45 days","Over 45 days"), IF($B$1&gt;L17+45,"Payment evidence needed","Within 45-day window")))</x:f>
        <x:v>Not MSME</x:v>
      </x:c>
      <x:c r="AP17" t="str">
        <x:f>IF(OR(G17="Mismatch",AD17="Over 180 days - reverse ITC",AO17="Over 45 days",AN17="Required"),"High risk",IF(OR(H17="Not verified",AB17="Not verified",AC17="Review",AK17="",AM17="Not verified"),"Needs attention","Compliant"))</x:f>
        <x:v>High risk</x:v>
      </x:c>
      <x:c r="AQ17" t="str">
        <x:v>No automatic mapping; tax team to determine</x:v>
      </x:c>
    </x:row>
    <x:row r="18" ht="15" hidden="0" customHeight="1">
      <x:c r="A18" s="32" t="str">
        <x:v>INV-017</x:v>
      </x:c>
      <x:c r="B18" t="str">
        <x:v>INV17_Digital_Hub_Distributors_Priva.pdf</x:v>
      </x:c>
      <x:c r="C18" t="str">
        <x:v>Digital Hub Distributors Private Limited</x:v>
      </x:c>
      <x:c r="D18" s="8" t="str">
        <x:v>29AABCD6602H1ZS</x:v>
      </x:c>
      <x:c r="E18" s="8" t="str">
        <x:v>AABCD6602H</x:v>
      </x:c>
      <x:c r="F18" t="str">
        <x:f>IF(AND(LEN(D18)=15,ISNUMBER(--LEFT(D18,2))),"Format OK","Check format")</x:f>
        <x:v>Format OK</x:v>
      </x:c>
      <x:c r="G18" t="str">
        <x:f>IF(AND(LEN(E18)=10,MID(D18,3,10)=E18),"Matches","Mismatch")</x:f>
        <x:v>Matches</x:v>
      </x:c>
      <x:c r="H18" t="str">
        <x:v>Not verified</x:v>
      </x:c>
      <x:c r="I18" t="str">
        <x:v>UDYAM-KR-03-0230091</x:v>
      </x:c>
      <x:c r="J18" t="str">
        <x:v>Medium Enterprise (Trading)</x:v>
      </x:c>
      <x:c r="K18" t="str">
        <x:v>DHD/KA/2627/00877</x:v>
      </x:c>
      <x:c r="L18" s="1" t="d">
        <x:v>2026-08-22T00:00:00.000Z</x:v>
      </x:c>
      <x:c r="M18" t="str">
        <x:v>Delhi (07)</x:v>
      </x:c>
      <x:c r="N18" t="str">
        <x:v>29</x:v>
      </x:c>
      <x:c r="O18" t="str">
        <x:v>No</x:v>
      </x:c>
      <x:c r="P18" t="str">
        <x:v>30 days from invoice date</x:v>
      </x:c>
      <x:c r="Q18" s="1" t="n">
        <x:f>IFERROR(L18+VALUE(LEFT(P18,FIND(" ",P18)-1)),"")</x:f>
        <x:v>46286</x:v>
      </x:c>
      <x:c r="R18" s="1"/>
      <x:c r="S18" t="str">
        <x:v>18%</x:v>
      </x:c>
      <x:c r="T18" s="9" t="n">
        <x:v>4200000</x:v>
      </x:c>
      <x:c r="U18" s="9" t="n">
        <x:v>0</x:v>
      </x:c>
      <x:c r="V18" s="9" t="n">
        <x:v>0</x:v>
      </x:c>
      <x:c r="W18" s="9" t="n">
        <x:v>756000</x:v>
      </x:c>
      <x:c r="X18" s="9" t="n">
        <x:f>IF(O18="Yes",T18*VALUE(LEFT(S18,LEN(S18)-1))/100,0)</x:f>
        <x:v>0</x:v>
      </x:c>
      <x:c r="Y18" s="9" t="n">
        <x:v>4956000</x:v>
      </x:c>
      <x:c r="Z18" t="str">
        <x:f>IF(O18="Yes","RCM - recipient to pay",IF(M18=LEFT(D18,2)&amp;"",IF(W18&gt;0,"Intra-state: CGST/SGST","Check tax split"),IF(W18&gt;0,"Inter-state: IGST","Check tax split")))</x:f>
        <x:v>Inter-state: IGST</x:v>
      </x:c>
      <x:c r="AA18" t="str"/>
      <x:c r="AB18" t="str">
        <x:v>Not verified</x:v>
      </x:c>
      <x:c r="AC18" t="str">
        <x:v>Review</x:v>
      </x:c>
      <x:c r="AD18" t="str">
        <x:f>IF(R18&lt;&gt;"",IF(R18&lt;=L18+180,"Paid within 180 days","Over 180 days - reverse ITC"),IF($B$1="","Payment evidence needed",IF($B$1&gt;L18+180,"Over 180 days - payment evidence needed","Payment evidence needed")))</x:f>
        <x:v>Payment evidence needed</x:v>
      </x:c>
      <x:c r="AE18" t="str">
        <x:v>Goods purchase review</x:v>
      </x:c>
      <x:c r="AF18" t="str">
        <x:v>194Q</x:v>
      </x:c>
      <x:c r="AG18" t="str">
        <x:v>393(1) [Table: Sl. No. 8(ii)]</x:v>
      </x:c>
      <x:c r="AH18" t="str">
        <x:v>0.1%</x:v>
      </x:c>
      <x:c r="AI18" s="10" t="n">
        <x:v>4200000</x:v>
      </x:c>
      <x:c r="AJ18" s="9" t="n">
        <x:f>IFERROR(IF(AH18="Review","",AI18*VALUE(LEFT(AH18,FIND("%",AH18)-1))/100),"")</x:f>
        <x:v>4200</x:v>
      </x:c>
      <x:c r="AK18" s="9"/>
      <x:c r="AL18" s="9"/>
      <x:c r="AM18" s="9" t="str">
        <x:v>Not verified</x:v>
      </x:c>
      <x:c r="AN18" t="str">
        <x:v>Not applicable</x:v>
      </x:c>
      <x:c r="AO18" t="str">
        <x:f>IF(J18="", "Not MSME", IF(R18&lt;&gt;"", IF(R18&lt;=L18+45,"Paid within 45 days","Over 45 days"), IF($B$1&gt;L18+45,"Payment evidence needed","Within 45-day window")))</x:f>
        <x:v>Payment evidence needed</x:v>
      </x:c>
      <x:c r="AP18" t="str">
        <x:f>IF(OR(G18="Mismatch",AD18="Over 180 days - reverse ITC",AO18="Over 45 days",AN18="Required"),"High risk",IF(OR(H18="Not verified",AB18="Not verified",AC18="Review",AK18="",AM18="Not verified"),"Needs attention","Compliant"))</x:f>
        <x:v>Needs attention</x:v>
      </x:c>
      <x:c r="AQ18" t="str">
        <x:v>Apply only if buyer conditions and annual purchases threshold are met</x:v>
      </x:c>
    </x:row>
    <x:row r="19" ht="15" hidden="0" customHeight="1">
      <x:c r="A19" s="32" t="str">
        <x:v>INV-018</x:v>
      </x:c>
      <x:c r="B19" t="str">
        <x:v>INV18_Pustak_Bhandar.pdf</x:v>
      </x:c>
      <x:c r="C19" t="str">
        <x:v>Pustak Bhandar (Prop. Vinod Arora)</x:v>
      </x:c>
      <x:c r="D19" s="8" t="str">
        <x:v>07AKVPA2219M1ZX</x:v>
      </x:c>
      <x:c r="E19" s="8" t="str">
        <x:v>AKVPA2219M</x:v>
      </x:c>
      <x:c r="F19" t="str">
        <x:f>IF(AND(LEN(D19)=15,ISNUMBER(--LEFT(D19,2))),"Format OK","Check format")</x:f>
        <x:v>Format OK</x:v>
      </x:c>
      <x:c r="G19" t="str">
        <x:f>IF(AND(LEN(E19)=10,MID(D19,3,10)=E19),"Matches","Mismatch")</x:f>
        <x:v>Matches</x:v>
      </x:c>
      <x:c r="H19" t="str">
        <x:v>Not verified</x:v>
      </x:c>
      <x:c r="I19" t="str">
        <x:v>UDYAM-DL-02-0012786</x:v>
      </x:c>
      <x:c r="J19" t="str">
        <x:v>Small Enterprise (Trading)</x:v>
      </x:c>
      <x:c r="K19" t="str">
        <x:v>PB/1452</x:v>
      </x:c>
      <x:c r="L19" s="1" t="d">
        <x:v>2026-04-25T00:00:00.000Z</x:v>
      </x:c>
      <x:c r="M19" t="str">
        <x:v>Delhi (07)</x:v>
      </x:c>
      <x:c r="N19" t="str">
        <x:v>07</x:v>
      </x:c>
      <x:c r="O19" t="str">
        <x:v>No</x:v>
      </x:c>
      <x:c r="P19" t="str">
        <x:v>30 days from invoice date</x:v>
      </x:c>
      <x:c r="Q19" s="1" t="n">
        <x:f>IFERROR(L19+VALUE(LEFT(P19,FIND(" ",P19)-1)),"")</x:f>
        <x:v>46167</x:v>
      </x:c>
      <x:c r="R19" s="1"/>
      <x:c r="S19" t="str">
        <x:v>0%</x:v>
      </x:c>
      <x:c r="T19" s="9" t="n">
        <x:v>140000</x:v>
      </x:c>
      <x:c r="U19" s="9" t="n">
        <x:v>0</x:v>
      </x:c>
      <x:c r="V19" s="9" t="n">
        <x:v>0</x:v>
      </x:c>
      <x:c r="W19" s="9" t="n">
        <x:v>0</x:v>
      </x:c>
      <x:c r="X19" s="9" t="n">
        <x:f>IF(O19="Yes",T19*VALUE(LEFT(S19,LEN(S19)-1))/100,0)</x:f>
        <x:v>0</x:v>
      </x:c>
      <x:c r="Y19" s="9" t="n">
        <x:v>140000</x:v>
      </x:c>
      <x:c r="Z19" t="str">
        <x:f>IF(O19="Yes","RCM - recipient to pay",IF(M19=LEFT(D19,2)&amp;"",IF(W19&gt;0,"Intra-state: CGST/SGST","Check tax split"),IF(W19&gt;0,"Inter-state: IGST","Check tax split")))</x:f>
        <x:v>Check tax split</x:v>
      </x:c>
      <x:c r="AA19" t="str"/>
      <x:c r="AB19" t="str">
        <x:v>Not verified</x:v>
      </x:c>
      <x:c r="AC19" t="str">
        <x:v>Review</x:v>
      </x:c>
      <x:c r="AD19" t="str">
        <x:f>IF(R19&lt;&gt;"",IF(R19&lt;=L19+180,"Paid within 180 days","Over 180 days - reverse ITC"),IF($B$1="","Payment evidence needed",IF($B$1&gt;L19+180,"Over 180 days - payment evidence needed","Payment evidence needed")))</x:f>
        <x:v>Over 180 days - payment evidence needed</x:v>
      </x:c>
      <x:c r="AE19" t="str">
        <x:v>Goods purchase review</x:v>
      </x:c>
      <x:c r="AF19" t="str">
        <x:v>194Q</x:v>
      </x:c>
      <x:c r="AG19" t="str">
        <x:v>393(1) [Table: Sl. No. 8(ii)]</x:v>
      </x:c>
      <x:c r="AH19" t="str">
        <x:v>0.1%</x:v>
      </x:c>
      <x:c r="AI19" s="10" t="n">
        <x:v>140000</x:v>
      </x:c>
      <x:c r="AJ19" s="9" t="n">
        <x:f>IFERROR(IF(AH19="Review","",AI19*VALUE(LEFT(AH19,FIND("%",AH19)-1))/100),"")</x:f>
        <x:v>140</x:v>
      </x:c>
      <x:c r="AK19" s="9"/>
      <x:c r="AL19" s="9"/>
      <x:c r="AM19" s="9" t="str">
        <x:v>Not verified</x:v>
      </x:c>
      <x:c r="AN19" t="str">
        <x:v>Not applicable</x:v>
      </x:c>
      <x:c r="AO19" t="str">
        <x:f>IF(J19="", "Not MSME", IF(R19&lt;&gt;"", IF(R19&lt;=L19+45,"Paid within 45 days","Over 45 days"), IF($B$1&gt;L19+45,"Payment evidence needed","Within 45-day window")))</x:f>
        <x:v>Payment evidence needed</x:v>
      </x:c>
      <x:c r="AP19" t="str">
        <x:f>IF(OR(G19="Mismatch",AD19="Over 180 days - reverse ITC",AO19="Over 45 days",AN19="Required"),"High risk",IF(OR(H19="Not verified",AB19="Not verified",AC19="Review",AK19="",AM19="Not verified"),"Needs attention","Compliant"))</x:f>
        <x:v>Needs attention</x:v>
      </x:c>
      <x:c r="AQ19" t="str">
        <x:v>Apply only if buyer conditions and annual purchases threshold are met</x:v>
      </x:c>
    </x:row>
    <x:row r="20" ht="15" hidden="0" customHeight="1">
      <x:c r="A20" s="32" t="str">
        <x:v>INV-019</x:v>
      </x:c>
      <x:c r="B20" t="str">
        <x:v>INV19_CoolAir_Systems_Private_Limite.pdf</x:v>
      </x:c>
      <x:c r="C20" t="str">
        <x:v>CoolAir Systems Private Limited</x:v>
      </x:c>
      <x:c r="D20" s="8" t="str">
        <x:v>06AAFCC9071A1ZY</x:v>
      </x:c>
      <x:c r="E20" s="8" t="str">
        <x:v>AAFCC9071A</x:v>
      </x:c>
      <x:c r="F20" t="str">
        <x:f>IF(AND(LEN(D20)=15,ISNUMBER(--LEFT(D20,2))),"Format OK","Check format")</x:f>
        <x:v>Format OK</x:v>
      </x:c>
      <x:c r="G20" t="str">
        <x:f>IF(AND(LEN(E20)=10,MID(D20,3,10)=E20),"Matches","Mismatch")</x:f>
        <x:v>Matches</x:v>
      </x:c>
      <x:c r="H20" t="str">
        <x:v>Not verified</x:v>
      </x:c>
      <x:c r="I20" t="str">
        <x:v>UDYAM-HR-05-0007731</x:v>
      </x:c>
      <x:c r="J20" t="str">
        <x:v>Medium Enterprise</x:v>
      </x:c>
      <x:c r="K20" t="str">
        <x:v>CAS/HR/26-27/0399</x:v>
      </x:c>
      <x:c r="L20" s="1" t="d">
        <x:v>2026-05-15T00:00:00.000Z</x:v>
      </x:c>
      <x:c r="M20" t="str">
        <x:v>Haryana (06)</x:v>
      </x:c>
      <x:c r="N20" t="str">
        <x:v>06</x:v>
      </x:c>
      <x:c r="O20" t="str">
        <x:v>No</x:v>
      </x:c>
      <x:c r="P20" t="str">
        <x:v>45 days from invoice date</x:v>
      </x:c>
      <x:c r="Q20" s="1" t="n">
        <x:f>IFERROR(L20+VALUE(LEFT(P20,FIND(" ",P20)-1)),"")</x:f>
        <x:v>46202</x:v>
      </x:c>
      <x:c r="R20" s="1"/>
      <x:c r="S20" t="str">
        <x:v>18%</x:v>
      </x:c>
      <x:c r="T20" s="9" t="n">
        <x:v>316000</x:v>
      </x:c>
      <x:c r="U20" s="9" t="n">
        <x:v>28440</x:v>
      </x:c>
      <x:c r="V20" s="9" t="n">
        <x:v>28440</x:v>
      </x:c>
      <x:c r="W20" s="9" t="n">
        <x:v>0</x:v>
      </x:c>
      <x:c r="X20" s="9" t="n">
        <x:f>IF(O20="Yes",T20*VALUE(LEFT(S20,LEN(S20)-1))/100,0)</x:f>
        <x:v>0</x:v>
      </x:c>
      <x:c r="Y20" s="9" t="n">
        <x:v>372880</x:v>
      </x:c>
      <x:c r="Z20" t="str">
        <x:f>IF(O20="Yes","RCM - recipient to pay",IF(M20=LEFT(D20,2)&amp;"",IF(W20&gt;0,"Intra-state: CGST/SGST","Check tax split"),IF(W20&gt;0,"Inter-state: IGST","Check tax split")))</x:f>
        <x:v>Check tax split</x:v>
      </x:c>
      <x:c r="AA20" t="str"/>
      <x:c r="AB20" t="str">
        <x:v>Not verified</x:v>
      </x:c>
      <x:c r="AC20" t="str">
        <x:v>Review</x:v>
      </x:c>
      <x:c r="AD20" t="str">
        <x:f>IF(R20&lt;&gt;"",IF(R20&lt;=L20+180,"Paid within 180 days","Over 180 days - reverse ITC"),IF($B$1="","Payment evidence needed",IF($B$1&gt;L20+180,"Over 180 days - payment evidence needed","Payment evidence needed")))</x:f>
        <x:v>Payment evidence needed</x:v>
      </x:c>
      <x:c r="AE20" t="str">
        <x:v>Goods purchase review</x:v>
      </x:c>
      <x:c r="AF20" t="str">
        <x:v>194Q</x:v>
      </x:c>
      <x:c r="AG20" t="str">
        <x:v>393(1) [Table: Sl. No. 8(ii)]</x:v>
      </x:c>
      <x:c r="AH20" t="str">
        <x:v>0.1%</x:v>
      </x:c>
      <x:c r="AI20" s="10" t="n">
        <x:v>316000</x:v>
      </x:c>
      <x:c r="AJ20" s="9" t="n">
        <x:f>IFERROR(IF(AH20="Review","",AI20*VALUE(LEFT(AH20,FIND("%",AH20)-1))/100),"")</x:f>
        <x:v>316</x:v>
      </x:c>
      <x:c r="AK20" s="9"/>
      <x:c r="AL20" s="9"/>
      <x:c r="AM20" s="9" t="str">
        <x:v>Not verified</x:v>
      </x:c>
      <x:c r="AN20" t="str">
        <x:v>Not applicable</x:v>
      </x:c>
      <x:c r="AO20" t="str">
        <x:f>IF(J20="", "Not MSME", IF(R20&lt;&gt;"", IF(R20&lt;=L20+45,"Paid within 45 days","Over 45 days"), IF($B$1&gt;L20+45,"Payment evidence needed","Within 45-day window")))</x:f>
        <x:v>Payment evidence needed</x:v>
      </x:c>
      <x:c r="AP20" t="str">
        <x:f>IF(OR(G20="Mismatch",AD20="Over 180 days - reverse ITC",AO20="Over 45 days",AN20="Required"),"High risk",IF(OR(H20="Not verified",AB20="Not verified",AC20="Review",AK20="",AM20="Not verified"),"Needs attention","Compliant"))</x:f>
        <x:v>Needs attention</x:v>
      </x:c>
      <x:c r="AQ20" t="str">
        <x:v>Apply only if buyer conditions and annual purchases threshold are met</x:v>
      </x:c>
    </x:row>
    <x:row r="21" ht="15" hidden="0" customHeight="1">
      <x:c r="A21" s="32" t="str">
        <x:v>INV-020</x:v>
      </x:c>
      <x:c r="B21" t="str">
        <x:v>INV20_TechFix_Solutions.pdf</x:v>
      </x:c>
      <x:c r="C21" t="str">
        <x:v>TechFix Solutions</x:v>
      </x:c>
      <x:c r="D21" s="8" t="str">
        <x:v>07AAJFT4410C1ZK</x:v>
      </x:c>
      <x:c r="E21" s="8" t="str">
        <x:v>AAJFT4410C</x:v>
      </x:c>
      <x:c r="F21" t="str">
        <x:f>IF(AND(LEN(D21)=15,ISNUMBER(--LEFT(D21,2))),"Format OK","Check format")</x:f>
        <x:v>Format OK</x:v>
      </x:c>
      <x:c r="G21" t="str">
        <x:f>IF(AND(LEN(E21)=10,MID(D21,3,10)=E21),"Matches","Mismatch")</x:f>
        <x:v>Matches</x:v>
      </x:c>
      <x:c r="H21" t="str">
        <x:v>Not verified</x:v>
      </x:c>
      <x:c r="I21" t="str">
        <x:v>UDYAM-DL-08-0058829</x:v>
      </x:c>
      <x:c r="J21" t="str">
        <x:v>Micro Enterprise (Services)</x:v>
      </x:c>
      <x:c r="K21" t="str">
        <x:v>TFS/2026/218</x:v>
      </x:c>
      <x:c r="L21" s="1" t="d">
        <x:v>2026-06-18T00:00:00.000Z</x:v>
      </x:c>
      <x:c r="M21" t="str">
        <x:v>Delhi (07)</x:v>
      </x:c>
      <x:c r="N21" t="str">
        <x:v>07</x:v>
      </x:c>
      <x:c r="O21" t="str">
        <x:v>No</x:v>
      </x:c>
      <x:c r="P21" t="str">
        <x:v>30 days from invoice date</x:v>
      </x:c>
      <x:c r="Q21" s="1" t="n">
        <x:f>IFERROR(L21+VALUE(LEFT(P21,FIND(" ",P21)-1)),"")</x:f>
        <x:v>46221</x:v>
      </x:c>
      <x:c r="R21" s="1"/>
      <x:c r="S21" t="str">
        <x:v>18%</x:v>
      </x:c>
      <x:c r="T21" s="9" t="n">
        <x:v>165000</x:v>
      </x:c>
      <x:c r="U21" s="9" t="n">
        <x:v>14850</x:v>
      </x:c>
      <x:c r="V21" s="9" t="n">
        <x:v>14850</x:v>
      </x:c>
      <x:c r="W21" s="9" t="n">
        <x:v>0</x:v>
      </x:c>
      <x:c r="X21" s="9" t="n">
        <x:f>IF(O21="Yes",T21*VALUE(LEFT(S21,LEN(S21)-1))/100,0)</x:f>
        <x:v>0</x:v>
      </x:c>
      <x:c r="Y21" s="9" t="n">
        <x:v>194700</x:v>
      </x:c>
      <x:c r="Z21" t="str">
        <x:f>IF(O21="Yes","RCM - recipient to pay",IF(M21=LEFT(D21,2)&amp;"",IF(W21&gt;0,"Intra-state: CGST/SGST","Check tax split"),IF(W21&gt;0,"Inter-state: IGST","Check tax split")))</x:f>
        <x:v>Check tax split</x:v>
      </x:c>
      <x:c r="AA21" t="str"/>
      <x:c r="AB21" t="str">
        <x:v>Not verified</x:v>
      </x:c>
      <x:c r="AC21" t="str">
        <x:v>Review</x:v>
      </x:c>
      <x:c r="AD21" t="str">
        <x:f>IF(R21&lt;&gt;"",IF(R21&lt;=L21+180,"Paid within 180 days","Over 180 days - reverse ITC"),IF($B$1="","Payment evidence needed",IF($B$1&gt;L21+180,"Over 180 days - payment evidence needed","Payment evidence needed")))</x:f>
        <x:v>Payment evidence needed</x:v>
      </x:c>
      <x:c r="AE21" t="str">
        <x:v>Professional / technical services</x:v>
      </x:c>
      <x:c r="AF21" t="str">
        <x:v>194J</x:v>
      </x:c>
      <x:c r="AG21" t="str">
        <x:v>393(1) resident-payee table</x:v>
      </x:c>
      <x:c r="AH21" t="str">
        <x:v>2%</x:v>
      </x:c>
      <x:c r="AI21" s="10" t="n">
        <x:v>165000</x:v>
      </x:c>
      <x:c r="AJ21" s="9" t="n">
        <x:f>IFERROR(IF(AH21="Review","",AI21*VALUE(LEFT(AH21,FIND("%",AH21)-1))/100),"")</x:f>
        <x:v>3300</x:v>
      </x:c>
      <x:c r="AK21" s="9"/>
      <x:c r="AL21" s="9"/>
      <x:c r="AM21" s="9" t="str">
        <x:v>Not verified</x:v>
      </x:c>
      <x:c r="AN21" t="str">
        <x:v>Not applicable</x:v>
      </x:c>
      <x:c r="AO21" t="str">
        <x:f>IF(J21="", "Not MSME", IF(R21&lt;&gt;"", IF(R21&lt;=L21+45,"Paid within 45 days","Over 45 days"), IF($B$1&gt;L21+45,"Payment evidence needed","Within 45-day window")))</x:f>
        <x:v>Payment evidence needed</x:v>
      </x:c>
      <x:c r="AP21" t="str">
        <x:f>IF(OR(G21="Mismatch",AD21="Over 180 days - reverse ITC",AO21="Over 45 days",AN21="Required"),"High risk",IF(OR(H21="Not verified",AB21="Not verified",AC21="Review",AK21="",AM21="Not verified"),"Needs attention","Compliant"))</x:f>
        <x:v>Needs attention</x:v>
      </x:c>
      <x:c r="AQ21" t="str">
        <x:v>Classify professional vs technical and confirm rate</x:v>
      </x:c>
    </x:row>
    <x:row r="22" ht="15" hidden="0" customHeight="1">
      <x:c r="A22" s="32" t="str">
        <x:v>INV-021</x:v>
      </x:c>
      <x:c r="B22" t="str">
        <x:v>INV21_Adv_Karan_Malhotra.pdf</x:v>
      </x:c>
      <x:c r="C22" t="str">
        <x:v>Adv. Karan Malhotra</x:v>
      </x:c>
      <x:c r="D22" s="8" t="str">
        <x:v>07AAKCN4821Q1ZV</x:v>
      </x:c>
      <x:c r="E22" s="8" t="str">
        <x:v>ATCPM6672R</x:v>
      </x:c>
      <x:c r="F22" t="str">
        <x:f>IF(AND(LEN(D22)=15,ISNUMBER(--LEFT(D22,2))),"Format OK","Check format")</x:f>
        <x:v>Format OK</x:v>
      </x:c>
      <x:c r="G22" t="str">
        <x:f>IF(AND(LEN(E22)=10,MID(D22,3,10)=E22),"Matches","Mismatch")</x:f>
        <x:v>Mismatch</x:v>
      </x:c>
      <x:c r="H22" t="str">
        <x:v>Not verified</x:v>
      </x:c>
      <x:c r="I22" t="str"/>
      <x:c r="J22" t="str"/>
      <x:c r="K22" t="str">
        <x:v>KM/LEG/26/09</x:v>
      </x:c>
      <x:c r="L22" s="1" t="d">
        <x:v>2026-06-25T00:00:00.000Z</x:v>
      </x:c>
      <x:c r="M22" t="str">
        <x:v>Delhi (07)</x:v>
      </x:c>
      <x:c r="N22" t="str">
        <x:v>07</x:v>
      </x:c>
      <x:c r="O22" t="str">
        <x:v>Yes</x:v>
      </x:c>
      <x:c r="P22" t="str"/>
      <x:c r="Q22" s="1" t="str">
        <x:f>IFERROR(L22+VALUE(LEFT(P22,FIND(" ",P22)-1)),"")</x:f>
      </x:c>
      <x:c r="R22" s="1"/>
      <x:c r="S22" t="str"/>
      <x:c r="T22" s="9"/>
      <x:c r="U22" s="9" t="n">
        <x:v>0</x:v>
      </x:c>
      <x:c r="V22" s="9" t="n">
        <x:v>0</x:v>
      </x:c>
      <x:c r="W22" s="9" t="n">
        <x:v>0</x:v>
      </x:c>
      <x:c r="X22" s="9" t="n">
        <x:f>IF(O22="Yes",T22*VALUE(LEFT(S22,LEN(S22)-1))/100,0)</x:f>
        <x:v>0</x:v>
      </x:c>
      <x:c r="Y22" s="9" t="n">
        <x:v>150000</x:v>
      </x:c>
      <x:c r="Z22" t="str">
        <x:f>IF(O22="Yes","RCM - recipient to pay",IF(M22=LEFT(D22,2)&amp;"",IF(W22&gt;0,"Intra-state: CGST/SGST","Check tax split"),IF(W22&gt;0,"Inter-state: IGST","Check tax split")))</x:f>
        <x:v>RCM - recipient to pay</x:v>
      </x:c>
      <x:c r="AA22" t="str"/>
      <x:c r="AB22" t="str">
        <x:v>Not verified</x:v>
      </x:c>
      <x:c r="AC22" t="str">
        <x:v>Review</x:v>
      </x:c>
      <x:c r="AD22" t="str">
        <x:f>IF(R22&lt;&gt;"",IF(R22&lt;=L22+180,"Paid within 180 days","Over 180 days - reverse ITC"),IF($B$1="","Payment evidence needed",IF($B$1&gt;L22+180,"Over 180 days - payment evidence needed","Payment evidence needed")))</x:f>
        <x:v>Payment evidence needed</x:v>
      </x:c>
      <x:c r="AE22" t="str">
        <x:v>Professional / technical services</x:v>
      </x:c>
      <x:c r="AF22" t="str">
        <x:v>194J</x:v>
      </x:c>
      <x:c r="AG22" t="str">
        <x:v>393(1) resident-payee table</x:v>
      </x:c>
      <x:c r="AH22" t="str">
        <x:v>10%</x:v>
      </x:c>
      <x:c r="AI22" s="10"/>
      <x:c r="AJ22" s="9" t="n">
        <x:f>IFERROR(IF(AH22="Review","",AI22*VALUE(LEFT(AH22,FIND("%",AH22)-1))/100),"")</x:f>
        <x:v>0</x:v>
      </x:c>
      <x:c r="AK22" s="9"/>
      <x:c r="AL22" s="9"/>
      <x:c r="AM22" s="9" t="str">
        <x:v>Not verified</x:v>
      </x:c>
      <x:c r="AN22" t="str">
        <x:v>Not applicable</x:v>
      </x:c>
      <x:c r="AO22" t="str">
        <x:f>IF(J22="", "Not MSME", IF(R22&lt;&gt;"", IF(R22&lt;=L22+45,"Paid within 45 days","Over 45 days"), IF($B$1&gt;L22+45,"Payment evidence needed","Within 45-day window")))</x:f>
        <x:v>Not MSME</x:v>
      </x:c>
      <x:c r="AP22" t="str">
        <x:f>IF(OR(G22="Mismatch",AD22="Over 180 days - reverse ITC",AO22="Over 45 days",AN22="Required"),"High risk",IF(OR(H22="Not verified",AB22="Not verified",AC22="Review",AK22="",AM22="Not verified"),"Needs attention","Compliant"))</x:f>
        <x:v>High risk</x:v>
      </x:c>
      <x:c r="AQ22" t="str">
        <x:v>Classify professional vs technical and confirm rate</x:v>
      </x:c>
    </x:row>
    <x:row r="23" ht="15" hidden="0" customHeight="1">
      <x:c r="A23" s="32" t="str">
        <x:v>INV-022</x:v>
      </x:c>
      <x:c r="B23" t="str">
        <x:v>INV22_Lexpoint_Legal_LLP.pdf</x:v>
      </x:c>
      <x:c r="C23" t="str">
        <x:v>Lexpoint Legal LLP</x:v>
      </x:c>
      <x:c r="D23" s="8" t="str">
        <x:v>27AAPFL3307N1ZV</x:v>
      </x:c>
      <x:c r="E23" s="8" t="str">
        <x:v>AAPFL3307N</x:v>
      </x:c>
      <x:c r="F23" t="str">
        <x:f>IF(AND(LEN(D23)=15,ISNUMBER(--LEFT(D23,2))),"Format OK","Check format")</x:f>
        <x:v>Format OK</x:v>
      </x:c>
      <x:c r="G23" t="str">
        <x:f>IF(AND(LEN(E23)=10,MID(D23,3,10)=E23),"Matches","Mismatch")</x:f>
        <x:v>Matches</x:v>
      </x:c>
      <x:c r="H23" t="str">
        <x:v>Not verified</x:v>
      </x:c>
      <x:c r="I23" t="str">
        <x:v>UDYAM-MH-18-0145560</x:v>
      </x:c>
      <x:c r="J23" t="str">
        <x:v>Small Enterprise (Services)</x:v>
      </x:c>
      <x:c r="K23" t="str">
        <x:v>LPL/MUM/2627/155</x:v>
      </x:c>
      <x:c r="L23" s="1" t="d">
        <x:v>2026-07-02T00:00:00.000Z</x:v>
      </x:c>
      <x:c r="M23" t="str">
        <x:v>Delhi (07)</x:v>
      </x:c>
      <x:c r="N23" t="str">
        <x:v>27</x:v>
      </x:c>
      <x:c r="O23" t="str">
        <x:v>Yes</x:v>
      </x:c>
      <x:c r="P23" t="str">
        <x:v>30 days from invoice date</x:v>
      </x:c>
      <x:c r="Q23" s="1" t="n">
        <x:f>IFERROR(L23+VALUE(LEFT(P23,FIND(" ",P23)-1)),"")</x:f>
        <x:v>46235</x:v>
      </x:c>
      <x:c r="R23" s="1"/>
      <x:c r="S23" t="str">
        <x:v>18%</x:v>
      </x:c>
      <x:c r="T23" s="9" t="n">
        <x:v>275000</x:v>
      </x:c>
      <x:c r="U23" s="9" t="n">
        <x:v>0</x:v>
      </x:c>
      <x:c r="V23" s="9" t="n">
        <x:v>0</x:v>
      </x:c>
      <x:c r="W23" s="9" t="n">
        <x:v>0</x:v>
      </x:c>
      <x:c r="X23" s="9" t="n">
        <x:f>IF(O23="Yes",T23*VALUE(LEFT(S23,LEN(S23)-1))/100,0)</x:f>
        <x:v>49500</x:v>
      </x:c>
      <x:c r="Y23" s="9" t="n">
        <x:v>275000</x:v>
      </x:c>
      <x:c r="Z23" t="str">
        <x:f>IF(O23="Yes","RCM - recipient to pay",IF(M23=LEFT(D23,2)&amp;"",IF(W23&gt;0,"Intra-state: CGST/SGST","Check tax split"),IF(W23&gt;0,"Inter-state: IGST","Check tax split")))</x:f>
        <x:v>RCM - recipient to pay</x:v>
      </x:c>
      <x:c r="AA23" t="str"/>
      <x:c r="AB23" t="str">
        <x:v>Not verified</x:v>
      </x:c>
      <x:c r="AC23" t="str">
        <x:v>Review</x:v>
      </x:c>
      <x:c r="AD23" t="str">
        <x:f>IF(R23&lt;&gt;"",IF(R23&lt;=L23+180,"Paid within 180 days","Over 180 days - reverse ITC"),IF($B$1="","Payment evidence needed",IF($B$1&gt;L23+180,"Over 180 days - payment evidence needed","Payment evidence needed")))</x:f>
        <x:v>Payment evidence needed</x:v>
      </x:c>
      <x:c r="AE23" t="str">
        <x:v>TDS applicability review</x:v>
      </x:c>
      <x:c r="AF23" t="str">
        <x:v>Review</x:v>
      </x:c>
      <x:c r="AG23" t="str">
        <x:v>393(1) resident-payee table</x:v>
      </x:c>
      <x:c r="AH23" t="str">
        <x:v>Review</x:v>
      </x:c>
      <x:c r="AI23" s="10" t="n">
        <x:v>275000</x:v>
      </x:c>
      <x:c r="AJ23" s="9" t="str">
        <x:f>IFERROR(IF(AH23="Review","",AI23*VALUE(LEFT(AH23,FIND("%",AH23)-1))/100),"")</x:f>
      </x:c>
      <x:c r="AK23" s="9"/>
      <x:c r="AL23" s="9"/>
      <x:c r="AM23" s="9" t="str">
        <x:v>Not verified</x:v>
      </x:c>
      <x:c r="AN23" t="str">
        <x:v>Not applicable</x:v>
      </x:c>
      <x:c r="AO23" t="str">
        <x:f>IF(J23="", "Not MSME", IF(R23&lt;&gt;"", IF(R23&lt;=L23+45,"Paid within 45 days","Over 45 days"), IF($B$1&gt;L23+45,"Payment evidence needed","Within 45-day window")))</x:f>
        <x:v>Payment evidence needed</x:v>
      </x:c>
      <x:c r="AP23" t="str">
        <x:f>IF(OR(G23="Mismatch",AD23="Over 180 days - reverse ITC",AO23="Over 45 days",AN23="Required"),"High risk",IF(OR(H23="Not verified",AB23="Not verified",AC23="Review",AK23="",AM23="Not verified"),"Needs attention","Compliant"))</x:f>
        <x:v>Needs attention</x:v>
      </x:c>
      <x:c r="AQ23" t="str">
        <x:v>No automatic mapping; tax team to determine</x:v>
      </x:c>
    </x:row>
    <x:row r="24" ht="15" hidden="0" customHeight="1">
      <x:c r="A24" s="32" t="str">
        <x:v>INV-023</x:v>
      </x:c>
      <x:c r="B24" t="str">
        <x:v>INV23_Shield_Guard_Security_Services.pdf</x:v>
      </x:c>
      <x:c r="C24" t="str">
        <x:v>Shield Guard Security Services (Prop.</x:v>
      </x:c>
      <x:c r="D24" s="8" t="str">
        <x:v>07BNSPS5530L1Z9</x:v>
      </x:c>
      <x:c r="E24" s="8" t="str">
        <x:v>BNSPS5530L</x:v>
      </x:c>
      <x:c r="F24" t="str">
        <x:f>IF(AND(LEN(D24)=15,ISNUMBER(--LEFT(D24,2))),"Format OK","Check format")</x:f>
        <x:v>Format OK</x:v>
      </x:c>
      <x:c r="G24" t="str">
        <x:f>IF(AND(LEN(E24)=10,MID(D24,3,10)=E24),"Matches","Mismatch")</x:f>
        <x:v>Matches</x:v>
      </x:c>
      <x:c r="H24" t="str">
        <x:v>Not verified</x:v>
      </x:c>
      <x:c r="I24" t="str">
        <x:v>UDYAM-DL-07-0066210</x:v>
      </x:c>
      <x:c r="J24" t="str">
        <x:v>Micro Enterprise (Services)</x:v>
      </x:c>
      <x:c r="K24" t="str">
        <x:v>SGS/09/2026</x:v>
      </x:c>
      <x:c r="L24" s="1" t="d">
        <x:v>2026-10-01T00:00:00.000Z</x:v>
      </x:c>
      <x:c r="M24" t="str">
        <x:v>Delhi (07)</x:v>
      </x:c>
      <x:c r="N24" t="str">
        <x:v>07</x:v>
      </x:c>
      <x:c r="O24" t="str">
        <x:v>Yes</x:v>
      </x:c>
      <x:c r="P24" t="str">
        <x:v>15 days from invoice date</x:v>
      </x:c>
      <x:c r="Q24" s="1" t="n">
        <x:f>IFERROR(L24+VALUE(LEFT(P24,FIND(" ",P24)-1)),"")</x:f>
        <x:v>46311</x:v>
      </x:c>
      <x:c r="R24" s="1"/>
      <x:c r="S24" t="str">
        <x:v>18%</x:v>
      </x:c>
      <x:c r="T24" s="9" t="n">
        <x:v>88000</x:v>
      </x:c>
      <x:c r="U24" s="9" t="n">
        <x:v>0</x:v>
      </x:c>
      <x:c r="V24" s="9" t="n">
        <x:v>0</x:v>
      </x:c>
      <x:c r="W24" s="9" t="n">
        <x:v>0</x:v>
      </x:c>
      <x:c r="X24" s="9" t="n">
        <x:f>IF(O24="Yes",T24*VALUE(LEFT(S24,LEN(S24)-1))/100,0)</x:f>
        <x:v>15840</x:v>
      </x:c>
      <x:c r="Y24" s="9" t="n">
        <x:v>88000</x:v>
      </x:c>
      <x:c r="Z24" t="str">
        <x:f>IF(O24="Yes","RCM - recipient to pay",IF(M24=LEFT(D24,2)&amp;"",IF(W24&gt;0,"Intra-state: CGST/SGST","Check tax split"),IF(W24&gt;0,"Inter-state: IGST","Check tax split")))</x:f>
        <x:v>RCM - recipient to pay</x:v>
      </x:c>
      <x:c r="AA24" t="str"/>
      <x:c r="AB24" t="str">
        <x:v>Not verified</x:v>
      </x:c>
      <x:c r="AC24" t="str">
        <x:v>Review</x:v>
      </x:c>
      <x:c r="AD24" t="str">
        <x:f>IF(R24&lt;&gt;"",IF(R24&lt;=L24+180,"Paid within 180 days","Over 180 days - reverse ITC"),IF($B$1="","Payment evidence needed",IF($B$1&gt;L24+180,"Over 180 days - payment evidence needed","Payment evidence needed")))</x:f>
        <x:v>Payment evidence needed</x:v>
      </x:c>
      <x:c r="AE24" t="str">
        <x:v>Contract / work</x:v>
      </x:c>
      <x:c r="AF24" t="str">
        <x:v>194C</x:v>
      </x:c>
      <x:c r="AG24" t="str">
        <x:v>393(1) [Table: Sl. No. 6(i)]</x:v>
      </x:c>
      <x:c r="AH24" t="str">
        <x:v>2%</x:v>
      </x:c>
      <x:c r="AI24" s="10" t="n">
        <x:v>88000</x:v>
      </x:c>
      <x:c r="AJ24" s="9" t="n">
        <x:f>IFERROR(IF(AH24="Review","",AI24*VALUE(LEFT(AH24,FIND("%",AH24)-1))/100),"")</x:f>
        <x:v>1760</x:v>
      </x:c>
      <x:c r="AK24" s="9"/>
      <x:c r="AL24" s="9"/>
      <x:c r="AM24" s="9" t="str">
        <x:v>Not verified</x:v>
      </x:c>
      <x:c r="AN24" t="str">
        <x:v>Not applicable</x:v>
      </x:c>
      <x:c r="AO24" t="str">
        <x:f>IF(J24="", "Not MSME", IF(R24&lt;&gt;"", IF(R24&lt;=L24+45,"Paid within 45 days","Over 45 days"), IF($B$1&gt;L24+45,"Payment evidence needed","Within 45-day window")))</x:f>
        <x:v>Within 45-day window</x:v>
      </x:c>
      <x:c r="AP24" t="str">
        <x:f>IF(OR(G24="Mismatch",AD24="Over 180 days - reverse ITC",AO24="Over 45 days",AN24="Required"),"High risk",IF(OR(H24="Not verified",AB24="Not verified",AC24="Review",AK24="",AM24="Not verified"),"Needs attention","Compliant"))</x:f>
        <x:v>Needs attention</x:v>
      </x:c>
      <x:c r="AQ24" t="str">
        <x:v>Confirm payee constitution; individual/HUF rate may be 1%</x:v>
      </x:c>
    </x:row>
    <x:row r="25" ht="15" hidden="0" customHeight="1">
      <x:c r="A25" s="32" t="str">
        <x:v>INV-024</x:v>
      </x:c>
      <x:c r="B25" t="str">
        <x:v>INV24_Vigilant_Protection_Services_P.pdf</x:v>
      </x:c>
      <x:c r="C25" t="str">
        <x:v>Vigilant Protection Services Private Limited</x:v>
      </x:c>
      <x:c r="D25" s="8" t="str">
        <x:v>06AACCV8021D1ZO</x:v>
      </x:c>
      <x:c r="E25" s="8" t="str">
        <x:v>AACCV8021D</x:v>
      </x:c>
      <x:c r="F25" t="str">
        <x:f>IF(AND(LEN(D25)=15,ISNUMBER(--LEFT(D25,2))),"Format OK","Check format")</x:f>
        <x:v>Format OK</x:v>
      </x:c>
      <x:c r="G25" t="str">
        <x:f>IF(AND(LEN(E25)=10,MID(D25,3,10)=E25),"Matches","Mismatch")</x:f>
        <x:v>Matches</x:v>
      </x:c>
      <x:c r="H25" t="str">
        <x:v>Not verified</x:v>
      </x:c>
      <x:c r="I25" t="str">
        <x:v>UDYAM-HR-05-0088123</x:v>
      </x:c>
      <x:c r="J25" t="str">
        <x:v>Small Enterprise (Services)</x:v>
      </x:c>
      <x:c r="K25" t="str">
        <x:v>VPS/HR/2627/0730</x:v>
      </x:c>
      <x:c r="L25" s="1" t="d">
        <x:v>2026-10-01T00:00:00.000Z</x:v>
      </x:c>
      <x:c r="M25" t="str">
        <x:v>Haryana (06)</x:v>
      </x:c>
      <x:c r="N25" t="str">
        <x:v>06</x:v>
      </x:c>
      <x:c r="O25" t="str">
        <x:v>No</x:v>
      </x:c>
      <x:c r="P25" t="str">
        <x:v>45 days from invoice date</x:v>
      </x:c>
      <x:c r="Q25" s="1" t="n">
        <x:f>IFERROR(L25+VALUE(LEFT(P25,FIND(" ",P25)-1)),"")</x:f>
        <x:v>46341</x:v>
      </x:c>
      <x:c r="R25" s="1"/>
      <x:c r="S25" t="str">
        <x:v>18%</x:v>
      </x:c>
      <x:c r="T25" s="9" t="n">
        <x:v>164000</x:v>
      </x:c>
      <x:c r="U25" s="9" t="n">
        <x:v>14760</x:v>
      </x:c>
      <x:c r="V25" s="9" t="n">
        <x:v>14760</x:v>
      </x:c>
      <x:c r="W25" s="9" t="n">
        <x:v>0</x:v>
      </x:c>
      <x:c r="X25" s="9" t="n">
        <x:f>IF(O25="Yes",T25*VALUE(LEFT(S25,LEN(S25)-1))/100,0)</x:f>
        <x:v>0</x:v>
      </x:c>
      <x:c r="Y25" s="9" t="n">
        <x:v>193520</x:v>
      </x:c>
      <x:c r="Z25" t="str">
        <x:f>IF(O25="Yes","RCM - recipient to pay",IF(M25=LEFT(D25,2)&amp;"",IF(W25&gt;0,"Intra-state: CGST/SGST","Check tax split"),IF(W25&gt;0,"Inter-state: IGST","Check tax split")))</x:f>
        <x:v>Check tax split</x:v>
      </x:c>
      <x:c r="AA25" t="str"/>
      <x:c r="AB25" t="str">
        <x:v>Not verified</x:v>
      </x:c>
      <x:c r="AC25" t="str">
        <x:v>Review</x:v>
      </x:c>
      <x:c r="AD25" t="str">
        <x:f>IF(R25&lt;&gt;"",IF(R25&lt;=L25+180,"Paid within 180 days","Over 180 days - reverse ITC"),IF($B$1="","Payment evidence needed",IF($B$1&gt;L25+180,"Over 180 days - payment evidence needed","Payment evidence needed")))</x:f>
        <x:v>Payment evidence needed</x:v>
      </x:c>
      <x:c r="AE25" t="str">
        <x:v>Contract / work</x:v>
      </x:c>
      <x:c r="AF25" t="str">
        <x:v>194C</x:v>
      </x:c>
      <x:c r="AG25" t="str">
        <x:v>393(1) [Table: Sl. No. 6(i)]</x:v>
      </x:c>
      <x:c r="AH25" t="str">
        <x:v>2%</x:v>
      </x:c>
      <x:c r="AI25" s="10" t="n">
        <x:v>164000</x:v>
      </x:c>
      <x:c r="AJ25" s="9" t="n">
        <x:f>IFERROR(IF(AH25="Review","",AI25*VALUE(LEFT(AH25,FIND("%",AH25)-1))/100),"")</x:f>
        <x:v>3280</x:v>
      </x:c>
      <x:c r="AK25" s="9"/>
      <x:c r="AL25" s="9"/>
      <x:c r="AM25" s="9" t="str">
        <x:v>Not verified</x:v>
      </x:c>
      <x:c r="AN25" t="str">
        <x:v>Not applicable</x:v>
      </x:c>
      <x:c r="AO25" t="str">
        <x:f>IF(J25="", "Not MSME", IF(R25&lt;&gt;"", IF(R25&lt;=L25+45,"Paid within 45 days","Over 45 days"), IF($B$1&gt;L25+45,"Payment evidence needed","Within 45-day window")))</x:f>
        <x:v>Within 45-day window</x:v>
      </x:c>
      <x:c r="AP25" t="str">
        <x:f>IF(OR(G25="Mismatch",AD25="Over 180 days - reverse ITC",AO25="Over 45 days",AN25="Required"),"High risk",IF(OR(H25="Not verified",AB25="Not verified",AC25="Review",AK25="",AM25="Not verified"),"Needs attention","Compliant"))</x:f>
        <x:v>Needs attention</x:v>
      </x:c>
      <x:c r="AQ25" t="str">
        <x:v>Confirm payee constitution; individual/HUF rate may be 1%</x:v>
      </x:c>
    </x:row>
    <x:row r="26" ht="15" hidden="0" customHeight="1">
      <x:c r="A26" s="32" t="str">
        <x:v>INV-025</x:v>
      </x:c>
      <x:c r="B26" t="str">
        <x:v>INV25_Dr_Anil_Khanna.pdf</x:v>
      </x:c>
      <x:c r="C26" t="str">
        <x:v>Dr. Anil Khanna (Independent Director)</x:v>
      </x:c>
      <x:c r="D26" s="8" t="str">
        <x:v>07AAKCN4821Q1ZV</x:v>
      </x:c>
      <x:c r="E26" s="8" t="str">
        <x:v>AFAPK1028E</x:v>
      </x:c>
      <x:c r="F26" t="str">
        <x:f>IF(AND(LEN(D26)=15,ISNUMBER(--LEFT(D26,2))),"Format OK","Check format")</x:f>
        <x:v>Format OK</x:v>
      </x:c>
      <x:c r="G26" t="str">
        <x:f>IF(AND(LEN(E26)=10,MID(D26,3,10)=E26),"Matches","Mismatch")</x:f>
        <x:v>Mismatch</x:v>
      </x:c>
      <x:c r="H26" t="str">
        <x:v>Not verified</x:v>
      </x:c>
      <x:c r="I26" t="str"/>
      <x:c r="J26" t="str"/>
      <x:c r="K26" t="str">
        <x:v>AK/SF/Q2</x:v>
      </x:c>
      <x:c r="L26" s="1" t="d">
        <x:v>2026-09-29T00:00:00.000Z</x:v>
      </x:c>
      <x:c r="M26" t="str">
        <x:v>Delhi (07)</x:v>
      </x:c>
      <x:c r="N26" t="str">
        <x:v>07</x:v>
      </x:c>
      <x:c r="O26" t="str">
        <x:v>Yes</x:v>
      </x:c>
      <x:c r="P26" t="str"/>
      <x:c r="Q26" s="1" t="str">
        <x:f>IFERROR(L26+VALUE(LEFT(P26,FIND(" ",P26)-1)),"")</x:f>
      </x:c>
      <x:c r="R26" s="1"/>
      <x:c r="S26" t="str"/>
      <x:c r="T26" s="9"/>
      <x:c r="U26" s="9" t="n">
        <x:v>0</x:v>
      </x:c>
      <x:c r="V26" s="9" t="n">
        <x:v>0</x:v>
      </x:c>
      <x:c r="W26" s="9" t="n">
        <x:v>0</x:v>
      </x:c>
      <x:c r="X26" s="9" t="n">
        <x:f>IF(O26="Yes",T26*VALUE(LEFT(S26,LEN(S26)-1))/100,0)</x:f>
        <x:v>0</x:v>
      </x:c>
      <x:c r="Y26" s="9" t="n">
        <x:v>80000</x:v>
      </x:c>
      <x:c r="Z26" t="str">
        <x:f>IF(O26="Yes","RCM - recipient to pay",IF(M26=LEFT(D26,2)&amp;"",IF(W26&gt;0,"Intra-state: CGST/SGST","Check tax split"),IF(W26&gt;0,"Inter-state: IGST","Check tax split")))</x:f>
        <x:v>RCM - recipient to pay</x:v>
      </x:c>
      <x:c r="AA26" t="str"/>
      <x:c r="AB26" t="str">
        <x:v>Not verified</x:v>
      </x:c>
      <x:c r="AC26" t="str">
        <x:v>Review</x:v>
      </x:c>
      <x:c r="AD26" t="str">
        <x:f>IF(R26&lt;&gt;"",IF(R26&lt;=L26+180,"Paid within 180 days","Over 180 days - reverse ITC"),IF($B$1="","Payment evidence needed",IF($B$1&gt;L26+180,"Over 180 days - payment evidence needed","Payment evidence needed")))</x:f>
        <x:v>Payment evidence needed</x:v>
      </x:c>
      <x:c r="AE26" t="str">
        <x:v>TDS applicability review</x:v>
      </x:c>
      <x:c r="AF26" t="str">
        <x:v>Review</x:v>
      </x:c>
      <x:c r="AG26" t="str">
        <x:v>393(1) resident-payee table</x:v>
      </x:c>
      <x:c r="AH26" t="str">
        <x:v>Review</x:v>
      </x:c>
      <x:c r="AI26" s="10"/>
      <x:c r="AJ26" s="9" t="str">
        <x:f>IFERROR(IF(AH26="Review","",AI26*VALUE(LEFT(AH26,FIND("%",AH26)-1))/100),"")</x:f>
      </x:c>
      <x:c r="AK26" s="9"/>
      <x:c r="AL26" s="9"/>
      <x:c r="AM26" s="9" t="str">
        <x:v>Not verified</x:v>
      </x:c>
      <x:c r="AN26" t="str">
        <x:v>Not applicable</x:v>
      </x:c>
      <x:c r="AO26" t="str">
        <x:f>IF(J26="", "Not MSME", IF(R26&lt;&gt;"", IF(R26&lt;=L26+45,"Paid within 45 days","Over 45 days"), IF($B$1&gt;L26+45,"Payment evidence needed","Within 45-day window")))</x:f>
        <x:v>Not MSME</x:v>
      </x:c>
      <x:c r="AP26" t="str">
        <x:f>IF(OR(G26="Mismatch",AD26="Over 180 days - reverse ITC",AO26="Over 45 days",AN26="Required"),"High risk",IF(OR(H26="Not verified",AB26="Not verified",AC26="Review",AK26="",AM26="Not verified"),"Needs attention","Compliant"))</x:f>
        <x:v>High risk</x:v>
      </x:c>
      <x:c r="AQ26" t="str">
        <x:v>No automatic mapping; tax team to determine</x:v>
      </x:c>
    </x:row>
    <x:row r="27" ht="15" hidden="0" customHeight="1">
      <x:c r="A27" s="32" t="str">
        <x:v>INV-026</x:v>
      </x:c>
      <x:c r="B27" t="str">
        <x:v>INV26_Sea_Breeze_Resort_Private_Limi.pdf</x:v>
      </x:c>
      <x:c r="C27" t="str">
        <x:v>Sea Breeze Resort Private Limited</x:v>
      </x:c>
      <x:c r="D27" s="8" t="str">
        <x:v>30AAJCS2264K1ZD</x:v>
      </x:c>
      <x:c r="E27" s="8" t="str">
        <x:v>AAJCS2264K</x:v>
      </x:c>
      <x:c r="F27" t="str">
        <x:f>IF(AND(LEN(D27)=15,ISNUMBER(--LEFT(D27,2))),"Format OK","Check format")</x:f>
        <x:v>Format OK</x:v>
      </x:c>
      <x:c r="G27" t="str">
        <x:f>IF(AND(LEN(E27)=10,MID(D27,3,10)=E27),"Matches","Mismatch")</x:f>
        <x:v>Matches</x:v>
      </x:c>
      <x:c r="H27" t="str">
        <x:v>Not verified</x:v>
      </x:c>
      <x:c r="I27" t="str"/>
      <x:c r="J27" t="str"/>
      <x:c r="K27" t="str">
        <x:v>SBR/GOA/26/4471</x:v>
      </x:c>
      <x:c r="L27" s="1" t="d">
        <x:v>2026-08-30T00:00:00.000Z</x:v>
      </x:c>
      <x:c r="M27" t="str">
        <x:v>Goa (30)</x:v>
      </x:c>
      <x:c r="N27" t="str">
        <x:v>30</x:v>
      </x:c>
      <x:c r="O27" t="str">
        <x:v>No</x:v>
      </x:c>
      <x:c r="P27" t="str"/>
      <x:c r="Q27" s="1" t="str">
        <x:f>IFERROR(L27+VALUE(LEFT(P27,FIND(" ",P27)-1)),"")</x:f>
      </x:c>
      <x:c r="R27" s="1"/>
      <x:c r="S27" t="str">
        <x:v>5%</x:v>
      </x:c>
      <x:c r="T27" s="9" t="n">
        <x:v>26000</x:v>
      </x:c>
      <x:c r="U27" s="9" t="n">
        <x:v>650</x:v>
      </x:c>
      <x:c r="V27" s="9" t="n">
        <x:v>650</x:v>
      </x:c>
      <x:c r="W27" s="9" t="n">
        <x:v>0</x:v>
      </x:c>
      <x:c r="X27" s="9" t="n">
        <x:f>IF(O27="Yes",T27*VALUE(LEFT(S27,LEN(S27)-1))/100,0)</x:f>
        <x:v>0</x:v>
      </x:c>
      <x:c r="Y27" s="9" t="n">
        <x:v>27300</x:v>
      </x:c>
      <x:c r="Z27" t="str">
        <x:f>IF(O27="Yes","RCM - recipient to pay",IF(M27=LEFT(D27,2)&amp;"",IF(W27&gt;0,"Intra-state: CGST/SGST","Check tax split"),IF(W27&gt;0,"Inter-state: IGST","Check tax split")))</x:f>
        <x:v>Check tax split</x:v>
      </x:c>
      <x:c r="AA27" t="str"/>
      <x:c r="AB27" t="str">
        <x:v>Not verified</x:v>
      </x:c>
      <x:c r="AC27" t="str">
        <x:v>Review</x:v>
      </x:c>
      <x:c r="AD27" t="str">
        <x:f>IF(R27&lt;&gt;"",IF(R27&lt;=L27+180,"Paid within 180 days","Over 180 days - reverse ITC"),IF($B$1="","Payment evidence needed",IF($B$1&gt;L27+180,"Over 180 days - payment evidence needed","Payment evidence needed")))</x:f>
        <x:v>Payment evidence needed</x:v>
      </x:c>
      <x:c r="AE27" t="str">
        <x:v>Goods purchase review</x:v>
      </x:c>
      <x:c r="AF27" t="str">
        <x:v>194Q</x:v>
      </x:c>
      <x:c r="AG27" t="str">
        <x:v>393(1) [Table: Sl. No. 8(ii)]</x:v>
      </x:c>
      <x:c r="AH27" t="str">
        <x:v>0.1%</x:v>
      </x:c>
      <x:c r="AI27" s="10" t="n">
        <x:v>26000</x:v>
      </x:c>
      <x:c r="AJ27" s="9" t="n">
        <x:f>IFERROR(IF(AH27="Review","",AI27*VALUE(LEFT(AH27,FIND("%",AH27)-1))/100),"")</x:f>
        <x:v>26</x:v>
      </x:c>
      <x:c r="AK27" s="9"/>
      <x:c r="AL27" s="9"/>
      <x:c r="AM27" s="9" t="str">
        <x:v>Not verified</x:v>
      </x:c>
      <x:c r="AN27" t="str">
        <x:v>Not applicable</x:v>
      </x:c>
      <x:c r="AO27" t="str">
        <x:f>IF(J27="", "Not MSME", IF(R27&lt;&gt;"", IF(R27&lt;=L27+45,"Paid within 45 days","Over 45 days"), IF($B$1&gt;L27+45,"Payment evidence needed","Within 45-day window")))</x:f>
        <x:v>Not MSME</x:v>
      </x:c>
      <x:c r="AP27" t="str">
        <x:f>IF(OR(G27="Mismatch",AD27="Over 180 days - reverse ITC",AO27="Over 45 days",AN27="Required"),"High risk",IF(OR(H27="Not verified",AB27="Not verified",AC27="Review",AK27="",AM27="Not verified"),"Needs attention","Compliant"))</x:f>
        <x:v>Needs attention</x:v>
      </x:c>
      <x:c r="AQ27" t="str">
        <x:v>Apply only if buyer conditions and annual purchases threshold are met</x:v>
      </x:c>
    </x:row>
    <x:row r="28" ht="15" hidden="0" customHeight="1">
      <x:c r="A28" s="32" t="str">
        <x:v>INV-027</x:v>
      </x:c>
      <x:c r="B28" t="str">
        <x:v>INV27_Eventique_Experiences_Private.pdf</x:v>
      </x:c>
      <x:c r="C28" t="str">
        <x:v>Eventique Experiences Private Limited</x:v>
      </x:c>
      <x:c r="D28" s="8" t="str">
        <x:v>07AAECE7719B1ZU</x:v>
      </x:c>
      <x:c r="E28" s="8" t="str">
        <x:v>AAECE7719B</x:v>
      </x:c>
      <x:c r="F28" t="str">
        <x:f>IF(AND(LEN(D28)=15,ISNUMBER(--LEFT(D28,2))),"Format OK","Check format")</x:f>
        <x:v>Format OK</x:v>
      </x:c>
      <x:c r="G28" t="str">
        <x:f>IF(AND(LEN(E28)=10,MID(D28,3,10)=E28),"Matches","Mismatch")</x:f>
        <x:v>Matches</x:v>
      </x:c>
      <x:c r="H28" t="str">
        <x:v>Not verified</x:v>
      </x:c>
      <x:c r="I28" t="str">
        <x:v>UDYAM-DL-08-0101448</x:v>
      </x:c>
      <x:c r="J28" t="str">
        <x:v>Small Enterprise (Services)</x:v>
      </x:c>
      <x:c r="K28" t="str">
        <x:v>EVQ/2627/0062</x:v>
      </x:c>
      <x:c r="L28" s="1" t="d">
        <x:v>2026-09-12T00:00:00.000Z</x:v>
      </x:c>
      <x:c r="M28" t="str">
        <x:v>Delhi (07)</x:v>
      </x:c>
      <x:c r="N28" t="str">
        <x:v>07</x:v>
      </x:c>
      <x:c r="O28" t="str">
        <x:v>No</x:v>
      </x:c>
      <x:c r="P28" t="str">
        <x:v>30 days from invoice date</x:v>
      </x:c>
      <x:c r="Q28" s="1" t="n">
        <x:f>IFERROR(L28+VALUE(LEFT(P28,FIND(" ",P28)-1)),"")</x:f>
        <x:v>46307</x:v>
      </x:c>
      <x:c r="R28" s="1"/>
      <x:c r="S28" t="str">
        <x:v>18%</x:v>
      </x:c>
      <x:c r="T28" s="9" t="n">
        <x:v>680000</x:v>
      </x:c>
      <x:c r="U28" s="9" t="n">
        <x:v>61200</x:v>
      </x:c>
      <x:c r="V28" s="9" t="n">
        <x:v>61200</x:v>
      </x:c>
      <x:c r="W28" s="9" t="n">
        <x:v>0</x:v>
      </x:c>
      <x:c r="X28" s="9" t="n">
        <x:f>IF(O28="Yes",T28*VALUE(LEFT(S28,LEN(S28)-1))/100,0)</x:f>
        <x:v>0</x:v>
      </x:c>
      <x:c r="Y28" s="9" t="n">
        <x:v>802400</x:v>
      </x:c>
      <x:c r="Z28" t="str">
        <x:f>IF(O28="Yes","RCM - recipient to pay",IF(M28=LEFT(D28,2)&amp;"",IF(W28&gt;0,"Intra-state: CGST/SGST","Check tax split"),IF(W28&gt;0,"Inter-state: IGST","Check tax split")))</x:f>
        <x:v>Check tax split</x:v>
      </x:c>
      <x:c r="AA28" t="str"/>
      <x:c r="AB28" t="str">
        <x:v>Not verified</x:v>
      </x:c>
      <x:c r="AC28" t="str">
        <x:v>Review</x:v>
      </x:c>
      <x:c r="AD28" t="str">
        <x:f>IF(R28&lt;&gt;"",IF(R28&lt;=L28+180,"Paid within 180 days","Over 180 days - reverse ITC"),IF($B$1="","Payment evidence needed",IF($B$1&gt;L28+180,"Over 180 days - payment evidence needed","Payment evidence needed")))</x:f>
        <x:v>Payment evidence needed</x:v>
      </x:c>
      <x:c r="AE28" t="str">
        <x:v>Contract / work</x:v>
      </x:c>
      <x:c r="AF28" t="str">
        <x:v>194C</x:v>
      </x:c>
      <x:c r="AG28" t="str">
        <x:v>393(1) [Table: Sl. No. 6(i)]</x:v>
      </x:c>
      <x:c r="AH28" t="str">
        <x:v>2%</x:v>
      </x:c>
      <x:c r="AI28" s="10" t="n">
        <x:v>680000</x:v>
      </x:c>
      <x:c r="AJ28" s="9" t="n">
        <x:f>IFERROR(IF(AH28="Review","",AI28*VALUE(LEFT(AH28,FIND("%",AH28)-1))/100),"")</x:f>
        <x:v>13600</x:v>
      </x:c>
      <x:c r="AK28" s="9"/>
      <x:c r="AL28" s="9"/>
      <x:c r="AM28" s="9" t="str">
        <x:v>Not verified</x:v>
      </x:c>
      <x:c r="AN28" t="str">
        <x:v>Not applicable</x:v>
      </x:c>
      <x:c r="AO28" t="str">
        <x:f>IF(J28="", "Not MSME", IF(R28&lt;&gt;"", IF(R28&lt;=L28+45,"Paid within 45 days","Over 45 days"), IF($B$1&gt;L28+45,"Payment evidence needed","Within 45-day window")))</x:f>
        <x:v>Within 45-day window</x:v>
      </x:c>
      <x:c r="AP28" t="str">
        <x:f>IF(OR(G28="Mismatch",AD28="Over 180 days - reverse ITC",AO28="Over 45 days",AN28="Required"),"High risk",IF(OR(H28="Not verified",AB28="Not verified",AC28="Review",AK28="",AM28="Not verified"),"Needs attention","Compliant"))</x:f>
        <x:v>Needs attention</x:v>
      </x:c>
      <x:c r="AQ28" t="str">
        <x:v>Confirm payee constitution; individual/HUF rate may be 1%</x:v>
      </x:c>
    </x:row>
    <x:row r="29" ht="15" hidden="0" customHeight="1">
      <x:c r="A29" s="32" t="str">
        <x:v>INV-028</x:v>
      </x:c>
      <x:c r="B29" t="str">
        <x:v>INV28_Pooja_Bansal_Co.pdf</x:v>
      </x:c>
      <x:c r="C29" t="str">
        <x:v>Pooja Bansal &amp; Co., Company Secretaries</x:v>
      </x:c>
      <x:c r="D29" s="8" t="str">
        <x:v>07AAOFP6630M1ZO</x:v>
      </x:c>
      <x:c r="E29" s="8" t="str">
        <x:v>AAOFP6630M</x:v>
      </x:c>
      <x:c r="F29" t="str">
        <x:f>IF(AND(LEN(D29)=15,ISNUMBER(--LEFT(D29,2))),"Format OK","Check format")</x:f>
        <x:v>Format OK</x:v>
      </x:c>
      <x:c r="G29" t="str">
        <x:f>IF(AND(LEN(E29)=10,MID(D29,3,10)=E29),"Matches","Mismatch")</x:f>
        <x:v>Matches</x:v>
      </x:c>
      <x:c r="H29" t="str">
        <x:v>Not verified</x:v>
      </x:c>
      <x:c r="I29" t="str">
        <x:v>UDYAM-DL-01-0027761</x:v>
      </x:c>
      <x:c r="J29" t="str">
        <x:v>Micro Enterprise (Services)</x:v>
      </x:c>
      <x:c r="K29" t="str">
        <x:v>PBC/CS/26-27/011</x:v>
      </x:c>
      <x:c r="L29" s="1" t="d">
        <x:v>2026-10-06T00:00:00.000Z</x:v>
      </x:c>
      <x:c r="M29" t="str">
        <x:v>Delhi (07)</x:v>
      </x:c>
      <x:c r="N29" t="str">
        <x:v>07</x:v>
      </x:c>
      <x:c r="O29" t="str">
        <x:v>No</x:v>
      </x:c>
      <x:c r="P29" t="str"/>
      <x:c r="Q29" s="1" t="str">
        <x:f>IFERROR(L29+VALUE(LEFT(P29,FIND(" ",P29)-1)),"")</x:f>
      </x:c>
      <x:c r="R29" s="1"/>
      <x:c r="S29" t="str">
        <x:v>18%</x:v>
      </x:c>
      <x:c r="T29" s="9" t="n">
        <x:v>120000</x:v>
      </x:c>
      <x:c r="U29" s="9" t="n">
        <x:v>10800</x:v>
      </x:c>
      <x:c r="V29" s="9" t="n">
        <x:v>10800</x:v>
      </x:c>
      <x:c r="W29" s="9" t="n">
        <x:v>0</x:v>
      </x:c>
      <x:c r="X29" s="9" t="n">
        <x:f>IF(O29="Yes",T29*VALUE(LEFT(S29,LEN(S29)-1))/100,0)</x:f>
        <x:v>0</x:v>
      </x:c>
      <x:c r="Y29" s="9" t="n">
        <x:v>141600</x:v>
      </x:c>
      <x:c r="Z29" t="str">
        <x:f>IF(O29="Yes","RCM - recipient to pay",IF(M29=LEFT(D29,2)&amp;"",IF(W29&gt;0,"Intra-state: CGST/SGST","Check tax split"),IF(W29&gt;0,"Inter-state: IGST","Check tax split")))</x:f>
        <x:v>Check tax split</x:v>
      </x:c>
      <x:c r="AA29" t="str"/>
      <x:c r="AB29" t="str">
        <x:v>Not verified</x:v>
      </x:c>
      <x:c r="AC29" t="str">
        <x:v>Review</x:v>
      </x:c>
      <x:c r="AD29" t="str">
        <x:f>IF(R29&lt;&gt;"",IF(R29&lt;=L29+180,"Paid within 180 days","Over 180 days - reverse ITC"),IF($B$1="","Payment evidence needed",IF($B$1&gt;L29+180,"Over 180 days - payment evidence needed","Payment evidence needed")))</x:f>
        <x:v>Payment evidence needed</x:v>
      </x:c>
      <x:c r="AE29" t="str">
        <x:v>Professional / technical services</x:v>
      </x:c>
      <x:c r="AF29" t="str">
        <x:v>194J</x:v>
      </x:c>
      <x:c r="AG29" t="str">
        <x:v>393(1) resident-payee table</x:v>
      </x:c>
      <x:c r="AH29" t="str">
        <x:v>10%</x:v>
      </x:c>
      <x:c r="AI29" s="10" t="n">
        <x:v>120000</x:v>
      </x:c>
      <x:c r="AJ29" s="9" t="n">
        <x:f>IFERROR(IF(AH29="Review","",AI29*VALUE(LEFT(AH29,FIND("%",AH29)-1))/100),"")</x:f>
        <x:v>12000</x:v>
      </x:c>
      <x:c r="AK29" s="9"/>
      <x:c r="AL29" s="9"/>
      <x:c r="AM29" s="9" t="str">
        <x:v>Not verified</x:v>
      </x:c>
      <x:c r="AN29" t="str">
        <x:v>Not applicable</x:v>
      </x:c>
      <x:c r="AO29" t="str">
        <x:f>IF(J29="", "Not MSME", IF(R29&lt;&gt;"", IF(R29&lt;=L29+45,"Paid within 45 days","Over 45 days"), IF($B$1&gt;L29+45,"Payment evidence needed","Within 45-day window")))</x:f>
        <x:v>Within 45-day window</x:v>
      </x:c>
      <x:c r="AP29" t="str">
        <x:f>IF(OR(G29="Mismatch",AD29="Over 180 days - reverse ITC",AO29="Over 45 days",AN29="Required"),"High risk",IF(OR(H29="Not verified",AB29="Not verified",AC29="Review",AK29="",AM29="Not verified"),"Needs attention","Compliant"))</x:f>
        <x:v>Needs attention</x:v>
      </x:c>
      <x:c r="AQ29" t="str">
        <x:v>Classify professional vs technical and confirm rate</x:v>
      </x:c>
    </x:row>
    <x:row r="30" ht="15" hidden="0" customHeight="1">
      <x:c r="A30" s="32" t="str">
        <x:v>INV-029</x:v>
      </x:c>
      <x:c r="B30" t="str">
        <x:v>INV29_MeetSphere_Inc.pdf</x:v>
      </x:c>
      <x:c r="C30" t="str">
        <x:v>MeetSphere Inc.</x:v>
      </x:c>
      <x:c r="D30" s="8" t="str">
        <x:v>07AAKCN4821Q1ZV</x:v>
      </x:c>
      <x:c r="E30" s="8" t="str">
        <x:v>AAKCN4821Q</x:v>
      </x:c>
      <x:c r="F30" t="str">
        <x:f>IF(AND(LEN(D30)=15,ISNUMBER(--LEFT(D30,2))),"Format OK","Check format")</x:f>
        <x:v>Format OK</x:v>
      </x:c>
      <x:c r="G30" t="str">
        <x:f>IF(AND(LEN(E30)=10,MID(D30,3,10)=E30),"Matches","Mismatch")</x:f>
        <x:v>Matches</x:v>
      </x:c>
      <x:c r="H30" t="str">
        <x:v>Not verified</x:v>
      </x:c>
      <x:c r="I30" t="str"/>
      <x:c r="J30" t="str"/>
      <x:c r="K30" t="str">
        <x:v>MS-INV-2026-118842</x:v>
      </x:c>
      <x:c r="L30" s="1" t="d">
        <x:v>2026-07-01T00:00:00.000Z</x:v>
      </x:c>
      <x:c r="M30" t="str"/>
      <x:c r="N30" t="str">
        <x:v>07</x:v>
      </x:c>
      <x:c r="O30" t="str"/>
      <x:c r="P30" t="str"/>
      <x:c r="Q30" s="1" t="str">
        <x:f>IFERROR(L30+VALUE(LEFT(P30,FIND(" ",P30)-1)),"")</x:f>
      </x:c>
      <x:c r="R30" s="1"/>
      <x:c r="S30" t="str"/>
      <x:c r="T30" s="9"/>
      <x:c r="U30" s="9" t="n">
        <x:v>0</x:v>
      </x:c>
      <x:c r="V30" s="9" t="n">
        <x:v>0</x:v>
      </x:c>
      <x:c r="W30" s="9" t="n">
        <x:v>0</x:v>
      </x:c>
      <x:c r="X30" s="9" t="n">
        <x:f>IF(O30="Yes",T30*VALUE(LEFT(S30,LEN(S30)-1))/100,0)</x:f>
        <x:v>0</x:v>
      </x:c>
      <x:c r="Y30" s="9"/>
      <x:c r="Z30" t="str">
        <x:f>IF(O30="Yes","RCM - recipient to pay",IF(M30=LEFT(D30,2)&amp;"",IF(W30&gt;0,"Intra-state: CGST/SGST","Check tax split"),IF(W30&gt;0,"Inter-state: IGST","Check tax split")))</x:f>
        <x:v>Check tax split</x:v>
      </x:c>
      <x:c r="AA30" t="str"/>
      <x:c r="AB30" t="str">
        <x:v>Not verified</x:v>
      </x:c>
      <x:c r="AC30" t="str">
        <x:v>Review</x:v>
      </x:c>
      <x:c r="AD30" t="str">
        <x:f>IF(R30&lt;&gt;"",IF(R30&lt;=L30+180,"Paid within 180 days","Over 180 days - reverse ITC"),IF($B$1="","Payment evidence needed",IF($B$1&gt;L30+180,"Over 180 days - payment evidence needed","Payment evidence needed")))</x:f>
        <x:v>Payment evidence needed</x:v>
      </x:c>
      <x:c r="AE30" t="str">
        <x:v>Foreign payment / SaaS</x:v>
      </x:c>
      <x:c r="AF30" t="str">
        <x:v>195</x:v>
      </x:c>
      <x:c r="AG30" t="str">
        <x:v>393(2) non-resident table</x:v>
      </x:c>
      <x:c r="AH30" t="str">
        <x:v>Review treaty / characterisation</x:v>
      </x:c>
      <x:c r="AI30" s="10"/>
      <x:c r="AJ30" s="9" t="str">
        <x:f>IFERROR(IF(AH30="Review","",AI30*VALUE(LEFT(AH30,FIND("%",AH30)-1))/100),"")</x:f>
      </x:c>
      <x:c r="AK30" s="9"/>
      <x:c r="AL30" s="9"/>
      <x:c r="AM30" s="9" t="str">
        <x:v>Not verified</x:v>
      </x:c>
      <x:c r="AN30" t="str">
        <x:v>Required</x:v>
      </x:c>
      <x:c r="AO30" t="str">
        <x:f>IF(J30="", "Not MSME", IF(R30&lt;&gt;"", IF(R30&lt;=L30+45,"Paid within 45 days","Over 45 days"), IF($B$1&gt;L30+45,"Payment evidence needed","Within 45-day window")))</x:f>
        <x:v>Not MSME</x:v>
      </x:c>
      <x:c r="AP30" t="str">
        <x:f>IF(OR(G30="Mismatch",AD30="Over 180 days - reverse ITC",AO30="Over 45 days",AN30="Required"),"High risk",IF(OR(H30="Not verified",AB30="Not verified",AC30="Review",AK30="",AM30="Not verified"),"Needs attention","Compliant"))</x:f>
        <x:v>High risk</x:v>
      </x:c>
      <x:c r="AQ30" t="str">
        <x:v>Foreign vendor: obtain tax residency, PE and treaty review</x:v>
      </x:c>
    </x:row>
    <x:row r="31" ht="15" hidden="0" customHeight="1">
      <x:c r="A31" s="32" t="str">
        <x:v>INV-030</x:v>
      </x:c>
      <x:c r="B31" t="str">
        <x:v>INV30_Kodex_Software_Ltd.pdf</x:v>
      </x:c>
      <x:c r="C31" t="str">
        <x:v>Kodex Software Ltd</x:v>
      </x:c>
      <x:c r="D31" s="8" t="str">
        <x:v>07AAKCN4821Q1ZV</x:v>
      </x:c>
      <x:c r="E31" s="8" t="str">
        <x:v>AAKCN4821Q</x:v>
      </x:c>
      <x:c r="F31" t="str">
        <x:f>IF(AND(LEN(D31)=15,ISNUMBER(--LEFT(D31,2))),"Format OK","Check format")</x:f>
        <x:v>Format OK</x:v>
      </x:c>
      <x:c r="G31" t="str">
        <x:f>IF(AND(LEN(E31)=10,MID(D31,3,10)=E31),"Matches","Mismatch")</x:f>
        <x:v>Matches</x:v>
      </x:c>
      <x:c r="H31" t="str">
        <x:v>Not verified</x:v>
      </x:c>
      <x:c r="I31" t="str"/>
      <x:c r="J31" t="str"/>
      <x:c r="K31" t="str">
        <x:v>KDX-2026-0451</x:v>
      </x:c>
      <x:c r="L31" s="1" t="d">
        <x:v>2026-08-05T00:00:00.000Z</x:v>
      </x:c>
      <x:c r="M31" t="str"/>
      <x:c r="N31" t="str">
        <x:v>07</x:v>
      </x:c>
      <x:c r="O31" t="str"/>
      <x:c r="P31" t="str"/>
      <x:c r="Q31" s="1" t="str">
        <x:f>IFERROR(L31+VALUE(LEFT(P31,FIND(" ",P31)-1)),"")</x:f>
      </x:c>
      <x:c r="R31" s="1"/>
      <x:c r="S31" t="str"/>
      <x:c r="T31" s="9"/>
      <x:c r="U31" s="9" t="n">
        <x:v>0</x:v>
      </x:c>
      <x:c r="V31" s="9" t="n">
        <x:v>0</x:v>
      </x:c>
      <x:c r="W31" s="9" t="n">
        <x:v>0</x:v>
      </x:c>
      <x:c r="X31" s="9" t="n">
        <x:f>IF(O31="Yes",T31*VALUE(LEFT(S31,LEN(S31)-1))/100,0)</x:f>
        <x:v>0</x:v>
      </x:c>
      <x:c r="Y31" s="9"/>
      <x:c r="Z31" t="str">
        <x:f>IF(O31="Yes","RCM - recipient to pay",IF(M31=LEFT(D31,2)&amp;"",IF(W31&gt;0,"Intra-state: CGST/SGST","Check tax split"),IF(W31&gt;0,"Inter-state: IGST","Check tax split")))</x:f>
        <x:v>Check tax split</x:v>
      </x:c>
      <x:c r="AA31" t="str"/>
      <x:c r="AB31" t="str">
        <x:v>Not verified</x:v>
      </x:c>
      <x:c r="AC31" t="str">
        <x:v>Review</x:v>
      </x:c>
      <x:c r="AD31" t="str">
        <x:f>IF(R31&lt;&gt;"",IF(R31&lt;=L31+180,"Paid within 180 days","Over 180 days - reverse ITC"),IF($B$1="","Payment evidence needed",IF($B$1&gt;L31+180,"Over 180 days - payment evidence needed","Payment evidence needed")))</x:f>
        <x:v>Payment evidence needed</x:v>
      </x:c>
      <x:c r="AE31" t="str">
        <x:v>Royalty / licence review</x:v>
      </x:c>
      <x:c r="AF31" t="str">
        <x:v>194J</x:v>
      </x:c>
      <x:c r="AG31" t="str">
        <x:v>393(1) resident-payee table</x:v>
      </x:c>
      <x:c r="AH31" t="str">
        <x:v>10%</x:v>
      </x:c>
      <x:c r="AI31" s="10"/>
      <x:c r="AJ31" s="9" t="n">
        <x:f>IFERROR(IF(AH31="Review","",AI31*VALUE(LEFT(AH31,FIND("%",AH31)-1))/100),"")</x:f>
        <x:v>0</x:v>
      </x:c>
      <x:c r="AK31" s="9"/>
      <x:c r="AL31" s="9"/>
      <x:c r="AM31" s="9" t="str">
        <x:v>Not verified</x:v>
      </x:c>
      <x:c r="AN31" t="str">
        <x:v>Not applicable</x:v>
      </x:c>
      <x:c r="AO31" t="str">
        <x:f>IF(J31="", "Not MSME", IF(R31&lt;&gt;"", IF(R31&lt;=L31+45,"Paid within 45 days","Over 45 days"), IF($B$1&gt;L31+45,"Payment evidence needed","Within 45-day window")))</x:f>
        <x:v>Not MSME</x:v>
      </x:c>
      <x:c r="AP31" t="str">
        <x:f>IF(OR(G31="Mismatch",AD31="Over 180 days - reverse ITC",AO31="Over 45 days",AN31="Required"),"High risk",IF(OR(H31="Not verified",AB31="Not verified",AC31="Review",AK31="",AM31="Not verified"),"Needs attention","Compliant"))</x:f>
        <x:v>Needs attention</x:v>
      </x:c>
      <x:c r="AQ31" t="str">
        <x:v>Confirm royalty versus sale of goods / licence</x:v>
      </x:c>
    </x:row>
    <x:row r="32" ht="15" hidden="0" customHeight="1">
      <x:c r="A32" s="32" t="str">
        <x:v>INV-031</x:v>
      </x:c>
      <x:c r="B32" t="str">
        <x:v>INV31_AdReach_Digital_India_Private.pdf</x:v>
      </x:c>
      <x:c r="C32" t="str">
        <x:v>AdReach Digital India Private Limited</x:v>
      </x:c>
      <x:c r="D32" s="8" t="str">
        <x:v>29AAICA4415J1ZK</x:v>
      </x:c>
      <x:c r="E32" s="8" t="str">
        <x:v>AAICA4415J</x:v>
      </x:c>
      <x:c r="F32" t="str">
        <x:f>IF(AND(LEN(D32)=15,ISNUMBER(--LEFT(D32,2))),"Format OK","Check format")</x:f>
        <x:v>Format OK</x:v>
      </x:c>
      <x:c r="G32" t="str">
        <x:f>IF(AND(LEN(E32)=10,MID(D32,3,10)=E32),"Matches","Mismatch")</x:f>
        <x:v>Matches</x:v>
      </x:c>
      <x:c r="H32" t="str">
        <x:v>Not verified</x:v>
      </x:c>
      <x:c r="I32" t="str"/>
      <x:c r="J32" t="str"/>
      <x:c r="K32" t="str">
        <x:v>ARD/KA/26-27/0912</x:v>
      </x:c>
      <x:c r="L32" s="1" t="d">
        <x:v>2026-09-08T00:00:00.000Z</x:v>
      </x:c>
      <x:c r="M32" t="str">
        <x:v>Delhi (07)</x:v>
      </x:c>
      <x:c r="N32" t="str">
        <x:v>29</x:v>
      </x:c>
      <x:c r="O32" t="str">
        <x:v>No</x:v>
      </x:c>
      <x:c r="P32" t="str"/>
      <x:c r="Q32" s="1" t="str">
        <x:f>IFERROR(L32+VALUE(LEFT(P32,FIND(" ",P32)-1)),"")</x:f>
      </x:c>
      <x:c r="R32" s="1"/>
      <x:c r="S32" t="str">
        <x:v>18%</x:v>
      </x:c>
      <x:c r="T32" s="9" t="n">
        <x:v>350000</x:v>
      </x:c>
      <x:c r="U32" s="9" t="n">
        <x:v>0</x:v>
      </x:c>
      <x:c r="V32" s="9" t="n">
        <x:v>0</x:v>
      </x:c>
      <x:c r="W32" s="9" t="n">
        <x:v>63000</x:v>
      </x:c>
      <x:c r="X32" s="9" t="n">
        <x:f>IF(O32="Yes",T32*VALUE(LEFT(S32,LEN(S32)-1))/100,0)</x:f>
        <x:v>0</x:v>
      </x:c>
      <x:c r="Y32" s="9" t="n">
        <x:v>413000</x:v>
      </x:c>
      <x:c r="Z32" t="str">
        <x:f>IF(O32="Yes","RCM - recipient to pay",IF(M32=LEFT(D32,2)&amp;"",IF(W32&gt;0,"Intra-state: CGST/SGST","Check tax split"),IF(W32&gt;0,"Inter-state: IGST","Check tax split")))</x:f>
        <x:v>Inter-state: IGST</x:v>
      </x:c>
      <x:c r="AA32" t="str"/>
      <x:c r="AB32" t="str">
        <x:v>Not verified</x:v>
      </x:c>
      <x:c r="AC32" t="str">
        <x:v>Review</x:v>
      </x:c>
      <x:c r="AD32" t="str">
        <x:f>IF(R32&lt;&gt;"",IF(R32&lt;=L32+180,"Paid within 180 days","Over 180 days - reverse ITC"),IF($B$1="","Payment evidence needed",IF($B$1&gt;L32+180,"Over 180 days - payment evidence needed","Payment evidence needed")))</x:f>
        <x:v>Payment evidence needed</x:v>
      </x:c>
      <x:c r="AE32" t="str">
        <x:v>TDS applicability review</x:v>
      </x:c>
      <x:c r="AF32" t="str">
        <x:v>Review</x:v>
      </x:c>
      <x:c r="AG32" t="str">
        <x:v>393(1) resident-payee table</x:v>
      </x:c>
      <x:c r="AH32" t="str">
        <x:v>Review</x:v>
      </x:c>
      <x:c r="AI32" s="10" t="n">
        <x:v>350000</x:v>
      </x:c>
      <x:c r="AJ32" s="9" t="str">
        <x:f>IFERROR(IF(AH32="Review","",AI32*VALUE(LEFT(AH32,FIND("%",AH32)-1))/100),"")</x:f>
      </x:c>
      <x:c r="AK32" s="9"/>
      <x:c r="AL32" s="9"/>
      <x:c r="AM32" s="9" t="str">
        <x:v>Not verified</x:v>
      </x:c>
      <x:c r="AN32" t="str">
        <x:v>Not applicable</x:v>
      </x:c>
      <x:c r="AO32" t="str">
        <x:f>IF(J32="", "Not MSME", IF(R32&lt;&gt;"", IF(R32&lt;=L32+45,"Paid within 45 days","Over 45 days"), IF($B$1&gt;L32+45,"Payment evidence needed","Within 45-day window")))</x:f>
        <x:v>Not MSME</x:v>
      </x:c>
      <x:c r="AP32" t="str">
        <x:f>IF(OR(G32="Mismatch",AD32="Over 180 days - reverse ITC",AO32="Over 45 days",AN32="Required"),"High risk",IF(OR(H32="Not verified",AB32="Not verified",AC32="Review",AK32="",AM32="Not verified"),"Needs attention","Compliant"))</x:f>
        <x:v>Needs attention</x:v>
      </x:c>
      <x:c r="AQ32" t="str">
        <x:v>No automatic mapping; tax team to determine</x:v>
      </x:c>
    </x:row>
    <x:row r="33" ht="15" hidden="0" customHeight="1">
      <x:c r="A33" s="32" t="str">
        <x:v>INV-032</x:v>
      </x:c>
      <x:c r="B33" t="str">
        <x:v>INV32_Gupta_Stationers.pdf</x:v>
      </x:c>
      <x:c r="C33" t="str">
        <x:v>Gupta Stationers (Prop. Mukesh Gupta)</x:v>
      </x:c>
      <x:c r="D33" s="8" t="str">
        <x:v>07AQXPG7120F1ZQ</x:v>
      </x:c>
      <x:c r="E33" s="8" t="str">
        <x:v>AQXPG7120F</x:v>
      </x:c>
      <x:c r="F33" t="str">
        <x:f>IF(AND(LEN(D33)=15,ISNUMBER(--LEFT(D33,2))),"Format OK","Check format")</x:f>
        <x:v>Format OK</x:v>
      </x:c>
      <x:c r="G33" t="str">
        <x:f>IF(AND(LEN(E33)=10,MID(D33,3,10)=E33),"Matches","Mismatch")</x:f>
        <x:v>Matches</x:v>
      </x:c>
      <x:c r="H33" t="str">
        <x:v>Not verified</x:v>
      </x:c>
      <x:c r="I33" t="str">
        <x:v>UDYAM-DL-08-0009215</x:v>
      </x:c>
      <x:c r="J33" t="str">
        <x:v>Micro Enterprise (Trading)</x:v>
      </x:c>
      <x:c r="K33" t="str">
        <x:v>GS/BOS/0388</x:v>
      </x:c>
      <x:c r="L33" s="1" t="d">
        <x:v>2026-05-20T00:00:00.000Z</x:v>
      </x:c>
      <x:c r="M33" t="str">
        <x:v>Delhi (07)</x:v>
      </x:c>
      <x:c r="N33" t="str">
        <x:v>07</x:v>
      </x:c>
      <x:c r="O33" t="str">
        <x:v>No</x:v>
      </x:c>
      <x:c r="P33" t="str">
        <x:v>15 days from invoice date</x:v>
      </x:c>
      <x:c r="Q33" s="1" t="n">
        <x:f>IFERROR(L33+VALUE(LEFT(P33,FIND(" ",P33)-1)),"")</x:f>
        <x:v>46177</x:v>
      </x:c>
      <x:c r="R33" s="1"/>
      <x:c r="S33" t="str"/>
      <x:c r="T33" s="9"/>
      <x:c r="U33" s="9" t="n">
        <x:v>0</x:v>
      </x:c>
      <x:c r="V33" s="9" t="n">
        <x:v>0</x:v>
      </x:c>
      <x:c r="W33" s="9" t="n">
        <x:v>0</x:v>
      </x:c>
      <x:c r="X33" s="9" t="n">
        <x:f>IF(O33="Yes",T33*VALUE(LEFT(S33,LEN(S33)-1))/100,0)</x:f>
        <x:v>0</x:v>
      </x:c>
      <x:c r="Y33" s="9" t="n">
        <x:v>54900</x:v>
      </x:c>
      <x:c r="Z33" t="str">
        <x:f>IF(O33="Yes","RCM - recipient to pay",IF(M33=LEFT(D33,2)&amp;"",IF(W33&gt;0,"Intra-state: CGST/SGST","Check tax split"),IF(W33&gt;0,"Inter-state: IGST","Check tax split")))</x:f>
        <x:v>Check tax split</x:v>
      </x:c>
      <x:c r="AA33" t="str"/>
      <x:c r="AB33" t="str">
        <x:v>Not verified</x:v>
      </x:c>
      <x:c r="AC33" t="str">
        <x:v>Review</x:v>
      </x:c>
      <x:c r="AD33" t="str">
        <x:f>IF(R33&lt;&gt;"",IF(R33&lt;=L33+180,"Paid within 180 days","Over 180 days - reverse ITC"),IF($B$1="","Payment evidence needed",IF($B$1&gt;L33+180,"Over 180 days - payment evidence needed","Payment evidence needed")))</x:f>
        <x:v>Payment evidence needed</x:v>
      </x:c>
      <x:c r="AE33" t="str">
        <x:v>Goods purchase review</x:v>
      </x:c>
      <x:c r="AF33" t="str">
        <x:v>194Q</x:v>
      </x:c>
      <x:c r="AG33" t="str">
        <x:v>393(1) [Table: Sl. No. 8(ii)]</x:v>
      </x:c>
      <x:c r="AH33" t="str">
        <x:v>0.1%</x:v>
      </x:c>
      <x:c r="AI33" s="10"/>
      <x:c r="AJ33" s="9" t="n">
        <x:f>IFERROR(IF(AH33="Review","",AI33*VALUE(LEFT(AH33,FIND("%",AH33)-1))/100),"")</x:f>
        <x:v>0</x:v>
      </x:c>
      <x:c r="AK33" s="9"/>
      <x:c r="AL33" s="9"/>
      <x:c r="AM33" s="9" t="str">
        <x:v>Not verified</x:v>
      </x:c>
      <x:c r="AN33" t="str">
        <x:v>Not applicable</x:v>
      </x:c>
      <x:c r="AO33" t="str">
        <x:f>IF(J33="", "Not MSME", IF(R33&lt;&gt;"", IF(R33&lt;=L33+45,"Paid within 45 days","Over 45 days"), IF($B$1&gt;L33+45,"Payment evidence needed","Within 45-day window")))</x:f>
        <x:v>Payment evidence needed</x:v>
      </x:c>
      <x:c r="AP33" t="str">
        <x:f>IF(OR(G33="Mismatch",AD33="Over 180 days - reverse ITC",AO33="Over 45 days",AN33="Required"),"High risk",IF(OR(H33="Not verified",AB33="Not verified",AC33="Review",AK33="",AM33="Not verified"),"Needs attention","Compliant"))</x:f>
        <x:v>Needs attention</x:v>
      </x:c>
      <x:c r="AQ33" t="str">
        <x:v>Apply only if buyer conditions and annual purchases threshold are met</x:v>
      </x:c>
    </x:row>
    <x:row r="34" ht="15" hidden="0" customHeight="1">
      <x:c r="A34" s="32" t="str">
        <x:v>INV-033</x:v>
      </x:c>
      <x:c r="B34" t="str">
        <x:v>INV33_Ramu_Tea_Stall.pdf</x:v>
      </x:c>
      <x:c r="C34" t="str">
        <x:v>Ramu Tea Stall</x:v>
      </x:c>
      <x:c r="D34" s="8" t="str">
        <x:v>07AAKCN4821Q1ZV</x:v>
      </x:c>
      <x:c r="E34" s="8" t="str">
        <x:v>AAKCN4821Q</x:v>
      </x:c>
      <x:c r="F34" t="str">
        <x:f>IF(AND(LEN(D34)=15,ISNUMBER(--LEFT(D34,2))),"Format OK","Check format")</x:f>
        <x:v>Format OK</x:v>
      </x:c>
      <x:c r="G34" t="str">
        <x:f>IF(AND(LEN(E34)=10,MID(D34,3,10)=E34),"Matches","Mismatch")</x:f>
        <x:v>Matches</x:v>
      </x:c>
      <x:c r="H34" t="str">
        <x:v>Not verified</x:v>
      </x:c>
      <x:c r="I34" t="str"/>
      <x:c r="J34" t="str"/>
      <x:c r="K34" t="str">
        <x:v>21</x:v>
      </x:c>
      <x:c r="L34" s="1" t="d">
        <x:v>2026-10-02T00:00:00.000Z</x:v>
      </x:c>
      <x:c r="M34" t="str">
        <x:v>Delhi (07)</x:v>
      </x:c>
      <x:c r="N34" t="str">
        <x:v>07</x:v>
      </x:c>
      <x:c r="O34" t="str">
        <x:v>No</x:v>
      </x:c>
      <x:c r="P34" t="str"/>
      <x:c r="Q34" s="1" t="str">
        <x:f>IFERROR(L34+VALUE(LEFT(P34,FIND(" ",P34)-1)),"")</x:f>
      </x:c>
      <x:c r="R34" s="1"/>
      <x:c r="S34" t="str"/>
      <x:c r="T34" s="9"/>
      <x:c r="U34" s="9" t="n">
        <x:v>0</x:v>
      </x:c>
      <x:c r="V34" s="9" t="n">
        <x:v>0</x:v>
      </x:c>
      <x:c r="W34" s="9" t="n">
        <x:v>0</x:v>
      </x:c>
      <x:c r="X34" s="9" t="n">
        <x:f>IF(O34="Yes",T34*VALUE(LEFT(S34,LEN(S34)-1))/100,0)</x:f>
        <x:v>0</x:v>
      </x:c>
      <x:c r="Y34" s="9" t="n">
        <x:v>9800</x:v>
      </x:c>
      <x:c r="Z34" t="str">
        <x:f>IF(O34="Yes","RCM - recipient to pay",IF(M34=LEFT(D34,2)&amp;"",IF(W34&gt;0,"Intra-state: CGST/SGST","Check tax split"),IF(W34&gt;0,"Inter-state: IGST","Check tax split")))</x:f>
        <x:v>Check tax split</x:v>
      </x:c>
      <x:c r="AA34" t="str"/>
      <x:c r="AB34" t="str">
        <x:v>Not verified</x:v>
      </x:c>
      <x:c r="AC34" t="str">
        <x:v>Review</x:v>
      </x:c>
      <x:c r="AD34" t="str">
        <x:f>IF(R34&lt;&gt;"",IF(R34&lt;=L34+180,"Paid within 180 days","Over 180 days - reverse ITC"),IF($B$1="","Payment evidence needed",IF($B$1&gt;L34+180,"Over 180 days - payment evidence needed","Payment evidence needed")))</x:f>
        <x:v>Payment evidence needed</x:v>
      </x:c>
      <x:c r="AE34" t="str">
        <x:v>TDS applicability review</x:v>
      </x:c>
      <x:c r="AF34" t="str">
        <x:v>Review</x:v>
      </x:c>
      <x:c r="AG34" t="str">
        <x:v>393(1) resident-payee table</x:v>
      </x:c>
      <x:c r="AH34" t="str">
        <x:v>Review</x:v>
      </x:c>
      <x:c r="AI34" s="10"/>
      <x:c r="AJ34" s="9" t="str">
        <x:f>IFERROR(IF(AH34="Review","",AI34*VALUE(LEFT(AH34,FIND("%",AH34)-1))/100),"")</x:f>
      </x:c>
      <x:c r="AK34" s="9"/>
      <x:c r="AL34" s="9"/>
      <x:c r="AM34" s="9" t="str">
        <x:v>Not verified</x:v>
      </x:c>
      <x:c r="AN34" t="str">
        <x:v>Not applicable</x:v>
      </x:c>
      <x:c r="AO34" t="str">
        <x:f>IF(J34="", "Not MSME", IF(R34&lt;&gt;"", IF(R34&lt;=L34+45,"Paid within 45 days","Over 45 days"), IF($B$1&gt;L34+45,"Payment evidence needed","Within 45-day window")))</x:f>
        <x:v>Not MSME</x:v>
      </x:c>
      <x:c r="AP34" t="str">
        <x:f>IF(OR(G34="Mismatch",AD34="Over 180 days - reverse ITC",AO34="Over 45 days",AN34="Required"),"High risk",IF(OR(H34="Not verified",AB34="Not verified",AC34="Review",AK34="",AM34="Not verified"),"Needs attention","Compliant"))</x:f>
        <x:v>Needs attention</x:v>
      </x:c>
      <x:c r="AQ34" t="str">
        <x:v>No automatic mapping; tax team to determine</x:v>
      </x:c>
    </x:row>
    <x:row r="35" ht="15" hidden="0" customHeight="1">
      <x:c r="A35" s="32" t="str">
        <x:v>INV-034</x:v>
      </x:c>
      <x:c r="B35" t="str">
        <x:v>INV34_Krishna_Painters.pdf</x:v>
      </x:c>
      <x:c r="C35" t="str">
        <x:v>Krishna Painters</x:v>
      </x:c>
      <x:c r="D35" s="8" t="str">
        <x:v>07AAKCN4821Q1ZV</x:v>
      </x:c>
      <x:c r="E35" s="8" t="str">
        <x:v>AAKCN4821Q</x:v>
      </x:c>
      <x:c r="F35" t="str">
        <x:f>IF(AND(LEN(D35)=15,ISNUMBER(--LEFT(D35,2))),"Format OK","Check format")</x:f>
        <x:v>Format OK</x:v>
      </x:c>
      <x:c r="G35" t="str">
        <x:f>IF(AND(LEN(E35)=10,MID(D35,3,10)=E35),"Matches","Mismatch")</x:f>
        <x:v>Matches</x:v>
      </x:c>
      <x:c r="H35" t="str">
        <x:v>Not verified</x:v>
      </x:c>
      <x:c r="I35" t="str"/>
      <x:c r="J35" t="str"/>
      <x:c r="K35" t="str">
        <x:v>KP-07</x:v>
      </x:c>
      <x:c r="L35" s="1" t="d">
        <x:v>2026-07-18T00:00:00.000Z</x:v>
      </x:c>
      <x:c r="M35" t="str">
        <x:v>Delhi (07)</x:v>
      </x:c>
      <x:c r="N35" t="str">
        <x:v>07</x:v>
      </x:c>
      <x:c r="O35" t="str">
        <x:v>No</x:v>
      </x:c>
      <x:c r="P35" t="str"/>
      <x:c r="Q35" s="1" t="str">
        <x:f>IFERROR(L35+VALUE(LEFT(P35,FIND(" ",P35)-1)),"")</x:f>
      </x:c>
      <x:c r="R35" s="1"/>
      <x:c r="S35" t="str"/>
      <x:c r="T35" s="9"/>
      <x:c r="U35" s="9" t="n">
        <x:v>0</x:v>
      </x:c>
      <x:c r="V35" s="9" t="n">
        <x:v>0</x:v>
      </x:c>
      <x:c r="W35" s="9" t="n">
        <x:v>0</x:v>
      </x:c>
      <x:c r="X35" s="9" t="n">
        <x:f>IF(O35="Yes",T35*VALUE(LEFT(S35,LEN(S35)-1))/100,0)</x:f>
        <x:v>0</x:v>
      </x:c>
      <x:c r="Y35" s="9" t="n">
        <x:v>80000</x:v>
      </x:c>
      <x:c r="Z35" t="str">
        <x:f>IF(O35="Yes","RCM - recipient to pay",IF(M35=LEFT(D35,2)&amp;"",IF(W35&gt;0,"Intra-state: CGST/SGST","Check tax split"),IF(W35&gt;0,"Inter-state: IGST","Check tax split")))</x:f>
        <x:v>Check tax split</x:v>
      </x:c>
      <x:c r="AA35" t="str"/>
      <x:c r="AB35" t="str">
        <x:v>Not verified</x:v>
      </x:c>
      <x:c r="AC35" t="str">
        <x:v>Review</x:v>
      </x:c>
      <x:c r="AD35" t="str">
        <x:f>IF(R35&lt;&gt;"",IF(R35&lt;=L35+180,"Paid within 180 days","Over 180 days - reverse ITC"),IF($B$1="","Payment evidence needed",IF($B$1&gt;L35+180,"Over 180 days - payment evidence needed","Payment evidence needed")))</x:f>
        <x:v>Payment evidence needed</x:v>
      </x:c>
      <x:c r="AE35" t="str">
        <x:v>TDS applicability review</x:v>
      </x:c>
      <x:c r="AF35" t="str">
        <x:v>Review</x:v>
      </x:c>
      <x:c r="AG35" t="str">
        <x:v>393(1) resident-payee table</x:v>
      </x:c>
      <x:c r="AH35" t="str">
        <x:v>Review</x:v>
      </x:c>
      <x:c r="AI35" s="10"/>
      <x:c r="AJ35" s="9" t="str">
        <x:f>IFERROR(IF(AH35="Review","",AI35*VALUE(LEFT(AH35,FIND("%",AH35)-1))/100),"")</x:f>
      </x:c>
      <x:c r="AK35" s="9"/>
      <x:c r="AL35" s="9"/>
      <x:c r="AM35" s="9" t="str">
        <x:v>Not verified</x:v>
      </x:c>
      <x:c r="AN35" t="str">
        <x:v>Not applicable</x:v>
      </x:c>
      <x:c r="AO35" t="str">
        <x:f>IF(J35="", "Not MSME", IF(R35&lt;&gt;"", IF(R35&lt;=L35+45,"Paid within 45 days","Over 45 days"), IF($B$1&gt;L35+45,"Payment evidence needed","Within 45-day window")))</x:f>
        <x:v>Not MSME</x:v>
      </x:c>
      <x:c r="AP35" t="str">
        <x:f>IF(OR(G35="Mismatch",AD35="Over 180 days - reverse ITC",AO35="Over 45 days",AN35="Required"),"High risk",IF(OR(H35="Not verified",AB35="Not verified",AC35="Review",AK35="",AM35="Not verified"),"Needs attention","Compliant"))</x:f>
        <x:v>Needs attention</x:v>
      </x:c>
      <x:c r="AQ35" t="str">
        <x:v>No automatic mapping; tax team to determine</x:v>
      </x:c>
    </x:row>
    <x:row r="36" ht="15" hidden="0" customHeight="1">
      <x:c r="A36" s="32" t="str">
        <x:v>INV-035</x:v>
      </x:c>
      <x:c r="B36" t="str">
        <x:v>INV35_BrightMind_Consulting_Private.pdf</x:v>
      </x:c>
      <x:c r="C36" t="str">
        <x:v>BrightMind Consulting Private Limited</x:v>
      </x:c>
      <x:c r="D36" s="8" t="str">
        <x:v>27AAHCB3361G1ZS</x:v>
      </x:c>
      <x:c r="E36" s="8" t="str">
        <x:v>AAHCB3361G</x:v>
      </x:c>
      <x:c r="F36" t="str">
        <x:f>IF(AND(LEN(D36)=15,ISNUMBER(--LEFT(D36,2))),"Format OK","Check format")</x:f>
        <x:v>Format OK</x:v>
      </x:c>
      <x:c r="G36" t="str">
        <x:f>IF(AND(LEN(E36)=10,MID(D36,3,10)=E36),"Matches","Mismatch")</x:f>
        <x:v>Matches</x:v>
      </x:c>
      <x:c r="H36" t="str">
        <x:v>Not verified</x:v>
      </x:c>
      <x:c r="I36" t="str">
        <x:v>UDYAM-MH-26-0172044</x:v>
      </x:c>
      <x:c r="J36" t="str">
        <x:v>Small Enterprise (Services)</x:v>
      </x:c>
      <x:c r="K36" t="str">
        <x:v>BMC/2026/0477</x:v>
      </x:c>
      <x:c r="L36" s="1" t="d">
        <x:v>2026-06-30T00:00:00.000Z</x:v>
      </x:c>
      <x:c r="M36" t="str">
        <x:v>Delhi (07)</x:v>
      </x:c>
      <x:c r="N36" t="str">
        <x:v>27</x:v>
      </x:c>
      <x:c r="O36" t="str">
        <x:v>No</x:v>
      </x:c>
      <x:c r="P36" t="str">
        <x:v>30 days from invoice date</x:v>
      </x:c>
      <x:c r="Q36" s="1" t="n">
        <x:f>IFERROR(L36+VALUE(LEFT(P36,FIND(" ",P36)-1)),"")</x:f>
        <x:v>46233</x:v>
      </x:c>
      <x:c r="R36" s="1"/>
      <x:c r="S36" t="str">
        <x:v>18%</x:v>
      </x:c>
      <x:c r="T36" s="9" t="n">
        <x:v>500000</x:v>
      </x:c>
      <x:c r="U36" s="9" t="n">
        <x:v>0</x:v>
      </x:c>
      <x:c r="V36" s="9" t="n">
        <x:v>0</x:v>
      </x:c>
      <x:c r="W36" s="9" t="n">
        <x:v>90000</x:v>
      </x:c>
      <x:c r="X36" s="9" t="n">
        <x:f>IF(O36="Yes",T36*VALUE(LEFT(S36,LEN(S36)-1))/100,0)</x:f>
        <x:v>0</x:v>
      </x:c>
      <x:c r="Y36" s="9" t="n">
        <x:v>590000</x:v>
      </x:c>
      <x:c r="Z36" t="str">
        <x:f>IF(O36="Yes","RCM - recipient to pay",IF(M36=LEFT(D36,2)&amp;"",IF(W36&gt;0,"Intra-state: CGST/SGST","Check tax split"),IF(W36&gt;0,"Inter-state: IGST","Check tax split")))</x:f>
        <x:v>Inter-state: IGST</x:v>
      </x:c>
      <x:c r="AA36" t="str"/>
      <x:c r="AB36" t="str">
        <x:v>Not verified</x:v>
      </x:c>
      <x:c r="AC36" t="str">
        <x:v>Review</x:v>
      </x:c>
      <x:c r="AD36" t="str">
        <x:f>IF(R36&lt;&gt;"",IF(R36&lt;=L36+180,"Paid within 180 days","Over 180 days - reverse ITC"),IF($B$1="","Payment evidence needed",IF($B$1&gt;L36+180,"Over 180 days - payment evidence needed","Payment evidence needed")))</x:f>
        <x:v>Payment evidence needed</x:v>
      </x:c>
      <x:c r="AE36" t="str">
        <x:v>Professional / technical services</x:v>
      </x:c>
      <x:c r="AF36" t="str">
        <x:v>194J</x:v>
      </x:c>
      <x:c r="AG36" t="str">
        <x:v>393(1) resident-payee table</x:v>
      </x:c>
      <x:c r="AH36" t="str">
        <x:v>10%</x:v>
      </x:c>
      <x:c r="AI36" s="10" t="n">
        <x:v>500000</x:v>
      </x:c>
      <x:c r="AJ36" s="9" t="n">
        <x:f>IFERROR(IF(AH36="Review","",AI36*VALUE(LEFT(AH36,FIND("%",AH36)-1))/100),"")</x:f>
        <x:v>50000</x:v>
      </x:c>
      <x:c r="AK36" s="9"/>
      <x:c r="AL36" s="9"/>
      <x:c r="AM36" s="9" t="str">
        <x:v>Not verified</x:v>
      </x:c>
      <x:c r="AN36" t="str">
        <x:v>Not applicable</x:v>
      </x:c>
      <x:c r="AO36" t="str">
        <x:f>IF(J36="", "Not MSME", IF(R36&lt;&gt;"", IF(R36&lt;=L36+45,"Paid within 45 days","Over 45 days"), IF($B$1&gt;L36+45,"Payment evidence needed","Within 45-day window")))</x:f>
        <x:v>Payment evidence needed</x:v>
      </x:c>
      <x:c r="AP36" t="str">
        <x:f>IF(OR(G36="Mismatch",AD36="Over 180 days - reverse ITC",AO36="Over 45 days",AN36="Required"),"High risk",IF(OR(H36="Not verified",AB36="Not verified",AC36="Review",AK36="",AM36="Not verified"),"Needs attention","Compliant"))</x:f>
        <x:v>Needs attention</x:v>
      </x:c>
      <x:c r="AQ36" t="str">
        <x:v>Classify professional vs technical and confirm rate</x:v>
      </x:c>
    </x:row>
    <x:row r="37" ht="15" hidden="0" customHeight="1">
      <x:c r="A37" s="32" t="str">
        <x:v>INV-036</x:v>
      </x:c>
      <x:c r="B37" t="str">
        <x:v>INV36_Kalam_Content_Studios_LLP.pdf</x:v>
      </x:c>
      <x:c r="C37" t="str">
        <x:v>Kalam Content Studios LLP</x:v>
      </x:c>
      <x:c r="D37" s="8" t="str">
        <x:v>36AAPFK5089H1ZR</x:v>
      </x:c>
      <x:c r="E37" s="8" t="str">
        <x:v>AAPFK5089H</x:v>
      </x:c>
      <x:c r="F37" t="str">
        <x:f>IF(AND(LEN(D37)=15,ISNUMBER(--LEFT(D37,2))),"Format OK","Check format")</x:f>
        <x:v>Format OK</x:v>
      </x:c>
      <x:c r="G37" t="str">
        <x:f>IF(AND(LEN(E37)=10,MID(D37,3,10)=E37),"Matches","Mismatch")</x:f>
        <x:v>Matches</x:v>
      </x:c>
      <x:c r="H37" t="str">
        <x:v>Not verified</x:v>
      </x:c>
      <x:c r="I37" t="str">
        <x:v>UDYAM-TS-09-0033317</x:v>
      </x:c>
      <x:c r="J37" t="str">
        <x:v>Small Enterprise (Services)</x:v>
      </x:c>
      <x:c r="K37" t="str">
        <x:v>KCS/LIC/26-27/08</x:v>
      </x:c>
      <x:c r="L37" s="1" t="d">
        <x:v>2026-07-14T00:00:00.000Z</x:v>
      </x:c>
      <x:c r="M37" t="str">
        <x:v>Delhi (07)</x:v>
      </x:c>
      <x:c r="N37" t="str">
        <x:v>36</x:v>
      </x:c>
      <x:c r="O37" t="str">
        <x:v>No</x:v>
      </x:c>
      <x:c r="P37" t="str">
        <x:v>30 days from invoice date</x:v>
      </x:c>
      <x:c r="Q37" s="1" t="n">
        <x:f>IFERROR(L37+VALUE(LEFT(P37,FIND(" ",P37)-1)),"")</x:f>
        <x:v>46247</x:v>
      </x:c>
      <x:c r="R37" s="1"/>
      <x:c r="S37" t="str">
        <x:v>18%</x:v>
      </x:c>
      <x:c r="T37" s="9" t="n">
        <x:v>600000</x:v>
      </x:c>
      <x:c r="U37" s="9" t="n">
        <x:v>0</x:v>
      </x:c>
      <x:c r="V37" s="9" t="n">
        <x:v>0</x:v>
      </x:c>
      <x:c r="W37" s="9" t="n">
        <x:v>108000</x:v>
      </x:c>
      <x:c r="X37" s="9" t="n">
        <x:f>IF(O37="Yes",T37*VALUE(LEFT(S37,LEN(S37)-1))/100,0)</x:f>
        <x:v>0</x:v>
      </x:c>
      <x:c r="Y37" s="9" t="n">
        <x:v>708000</x:v>
      </x:c>
      <x:c r="Z37" t="str">
        <x:f>IF(O37="Yes","RCM - recipient to pay",IF(M37=LEFT(D37,2)&amp;"",IF(W37&gt;0,"Intra-state: CGST/SGST","Check tax split"),IF(W37&gt;0,"Inter-state: IGST","Check tax split")))</x:f>
        <x:v>Inter-state: IGST</x:v>
      </x:c>
      <x:c r="AA37" t="str"/>
      <x:c r="AB37" t="str">
        <x:v>Not verified</x:v>
      </x:c>
      <x:c r="AC37" t="str">
        <x:v>Review</x:v>
      </x:c>
      <x:c r="AD37" t="str">
        <x:f>IF(R37&lt;&gt;"",IF(R37&lt;=L37+180,"Paid within 180 days","Over 180 days - reverse ITC"),IF($B$1="","Payment evidence needed",IF($B$1&gt;L37+180,"Over 180 days - payment evidence needed","Payment evidence needed")))</x:f>
        <x:v>Payment evidence needed</x:v>
      </x:c>
      <x:c r="AE37" t="str">
        <x:v>Royalty / licence review</x:v>
      </x:c>
      <x:c r="AF37" t="str">
        <x:v>194J</x:v>
      </x:c>
      <x:c r="AG37" t="str">
        <x:v>393(1) resident-payee table</x:v>
      </x:c>
      <x:c r="AH37" t="str">
        <x:v>10%</x:v>
      </x:c>
      <x:c r="AI37" s="10" t="n">
        <x:v>600000</x:v>
      </x:c>
      <x:c r="AJ37" s="9" t="n">
        <x:f>IFERROR(IF(AH37="Review","",AI37*VALUE(LEFT(AH37,FIND("%",AH37)-1))/100),"")</x:f>
        <x:v>60000</x:v>
      </x:c>
      <x:c r="AK37" s="9"/>
      <x:c r="AL37" s="9"/>
      <x:c r="AM37" s="9" t="str">
        <x:v>Not verified</x:v>
      </x:c>
      <x:c r="AN37" t="str">
        <x:v>Not applicable</x:v>
      </x:c>
      <x:c r="AO37" t="str">
        <x:f>IF(J37="", "Not MSME", IF(R37&lt;&gt;"", IF(R37&lt;=L37+45,"Paid within 45 days","Over 45 days"), IF($B$1&gt;L37+45,"Payment evidence needed","Within 45-day window")))</x:f>
        <x:v>Payment evidence needed</x:v>
      </x:c>
      <x:c r="AP37" t="str">
        <x:f>IF(OR(G37="Mismatch",AD37="Over 180 days - reverse ITC",AO37="Over 45 days",AN37="Required"),"High risk",IF(OR(H37="Not verified",AB37="Not verified",AC37="Review",AK37="",AM37="Not verified"),"Needs attention","Compliant"))</x:f>
        <x:v>Needs attention</x:v>
      </x:c>
      <x:c r="AQ37" t="str">
        <x:v>Confirm royalty versus sale of goods / licence</x:v>
      </x:c>
    </x:row>
    <x:row r="38" ht="15" hidden="0" customHeight="1">
      <x:c r="A38" s="32" t="str">
        <x:v>INV-037</x:v>
      </x:c>
      <x:c r="B38" t="str">
        <x:v>INV37_Softline_Licensing_Private_Lim.pdf</x:v>
      </x:c>
      <x:c r="C38" t="str">
        <x:v>Softline Licensing Private Limited</x:v>
      </x:c>
      <x:c r="D38" s="8" t="str">
        <x:v>07AAACS9910E1ZH</x:v>
      </x:c>
      <x:c r="E38" s="8" t="str">
        <x:v>AAACS9910E</x:v>
      </x:c>
      <x:c r="F38" t="str">
        <x:f>IF(AND(LEN(D38)=15,ISNUMBER(--LEFT(D38,2))),"Format OK","Check format")</x:f>
        <x:v>Format OK</x:v>
      </x:c>
      <x:c r="G38" t="str">
        <x:f>IF(AND(LEN(E38)=10,MID(D38,3,10)=E38),"Matches","Mismatch")</x:f>
        <x:v>Matches</x:v>
      </x:c>
      <x:c r="H38" t="str">
        <x:v>Not verified</x:v>
      </x:c>
      <x:c r="I38" t="str"/>
      <x:c r="J38" t="str"/>
      <x:c r="K38" t="str">
        <x:v>SLP/DL/2627/1204</x:v>
      </x:c>
      <x:c r="L38" s="1" t="d">
        <x:v>2026-04-28T00:00:00.000Z</x:v>
      </x:c>
      <x:c r="M38" t="str">
        <x:v>Delhi (07)</x:v>
      </x:c>
      <x:c r="N38" t="str">
        <x:v>07</x:v>
      </x:c>
      <x:c r="O38" t="str">
        <x:v>No</x:v>
      </x:c>
      <x:c r="P38" t="str"/>
      <x:c r="Q38" s="1" t="str">
        <x:f>IFERROR(L38+VALUE(LEFT(P38,FIND(" ",P38)-1)),"")</x:f>
      </x:c>
      <x:c r="R38" s="1"/>
      <x:c r="S38" t="str">
        <x:v>18%</x:v>
      </x:c>
      <x:c r="T38" s="9" t="n">
        <x:v>460000</x:v>
      </x:c>
      <x:c r="U38" s="9" t="n">
        <x:v>41400</x:v>
      </x:c>
      <x:c r="V38" s="9" t="n">
        <x:v>41400</x:v>
      </x:c>
      <x:c r="W38" s="9" t="n">
        <x:v>0</x:v>
      </x:c>
      <x:c r="X38" s="9" t="n">
        <x:f>IF(O38="Yes",T38*VALUE(LEFT(S38,LEN(S38)-1))/100,0)</x:f>
        <x:v>0</x:v>
      </x:c>
      <x:c r="Y38" s="9" t="n">
        <x:v>542800</x:v>
      </x:c>
      <x:c r="Z38" t="str">
        <x:f>IF(O38="Yes","RCM - recipient to pay",IF(M38=LEFT(D38,2)&amp;"",IF(W38&gt;0,"Intra-state: CGST/SGST","Check tax split"),IF(W38&gt;0,"Inter-state: IGST","Check tax split")))</x:f>
        <x:v>Check tax split</x:v>
      </x:c>
      <x:c r="AA38" t="str"/>
      <x:c r="AB38" t="str">
        <x:v>Not verified</x:v>
      </x:c>
      <x:c r="AC38" t="str">
        <x:v>Review</x:v>
      </x:c>
      <x:c r="AD38" t="str">
        <x:f>IF(R38&lt;&gt;"",IF(R38&lt;=L38+180,"Paid within 180 days","Over 180 days - reverse ITC"),IF($B$1="","Payment evidence needed",IF($B$1&gt;L38+180,"Over 180 days - payment evidence needed","Payment evidence needed")))</x:f>
        <x:v>Payment evidence needed</x:v>
      </x:c>
      <x:c r="AE38" t="str">
        <x:v>TDS applicability review</x:v>
      </x:c>
      <x:c r="AF38" t="str">
        <x:v>Review</x:v>
      </x:c>
      <x:c r="AG38" t="str">
        <x:v>393(1) resident-payee table</x:v>
      </x:c>
      <x:c r="AH38" t="str">
        <x:v>Review</x:v>
      </x:c>
      <x:c r="AI38" s="10" t="n">
        <x:v>460000</x:v>
      </x:c>
      <x:c r="AJ38" s="9" t="str">
        <x:f>IFERROR(IF(AH38="Review","",AI38*VALUE(LEFT(AH38,FIND("%",AH38)-1))/100),"")</x:f>
      </x:c>
      <x:c r="AK38" s="9"/>
      <x:c r="AL38" s="9"/>
      <x:c r="AM38" s="9" t="str">
        <x:v>Not verified</x:v>
      </x:c>
      <x:c r="AN38" t="str">
        <x:v>Not applicable</x:v>
      </x:c>
      <x:c r="AO38" t="str">
        <x:f>IF(J38="", "Not MSME", IF(R38&lt;&gt;"", IF(R38&lt;=L38+45,"Paid within 45 days","Over 45 days"), IF($B$1&gt;L38+45,"Payment evidence needed","Within 45-day window")))</x:f>
        <x:v>Not MSME</x:v>
      </x:c>
      <x:c r="AP38" t="str">
        <x:f>IF(OR(G38="Mismatch",AD38="Over 180 days - reverse ITC",AO38="Over 45 days",AN38="Required"),"High risk",IF(OR(H38="Not verified",AB38="Not verified",AC38="Review",AK38="",AM38="Not verified"),"Needs attention","Compliant"))</x:f>
        <x:v>Needs attention</x:v>
      </x:c>
      <x:c r="AQ38" t="str">
        <x:v>No automatic mapping; tax team to determine</x:v>
      </x:c>
    </x:row>
    <x:row r="39" ht="15" hidden="0" customHeight="1">
      <x:c r="A39" s="32" t="str">
        <x:v>INV-038</x:v>
      </x:c>
      <x:c r="B39" t="str">
        <x:v>INV38_Arjun_Mehta.pdf</x:v>
      </x:c>
      <x:c r="C39" t="str">
        <x:v>Arjun Mehta (Voice-over Artist)</x:v>
      </x:c>
      <x:c r="D39" s="8" t="str">
        <x:v>27BBNPM2276S1ZO</x:v>
      </x:c>
      <x:c r="E39" s="8" t="str">
        <x:v>BBNPM2276S</x:v>
      </x:c>
      <x:c r="F39" t="str">
        <x:f>IF(AND(LEN(D39)=15,ISNUMBER(--LEFT(D39,2))),"Format OK","Check format")</x:f>
        <x:v>Format OK</x:v>
      </x:c>
      <x:c r="G39" t="str">
        <x:f>IF(AND(LEN(E39)=10,MID(D39,3,10)=E39),"Matches","Mismatch")</x:f>
        <x:v>Matches</x:v>
      </x:c>
      <x:c r="H39" t="str">
        <x:v>Not verified</x:v>
      </x:c>
      <x:c r="I39" t="str">
        <x:v>UDYAM-MH-18-0211907</x:v>
      </x:c>
      <x:c r="J39" t="str">
        <x:v>Micro Enterprise (Services)</x:v>
      </x:c>
      <x:c r="K39" t="str">
        <x:v>AM-VO-26-04</x:v>
      </x:c>
      <x:c r="L39" s="1" t="d">
        <x:v>2026-08-11T00:00:00.000Z</x:v>
      </x:c>
      <x:c r="M39" t="str">
        <x:v>Delhi (07)</x:v>
      </x:c>
      <x:c r="N39" t="str">
        <x:v>27</x:v>
      </x:c>
      <x:c r="O39" t="str">
        <x:v>No</x:v>
      </x:c>
      <x:c r="P39" t="str">
        <x:v>15 days from invoice date</x:v>
      </x:c>
      <x:c r="Q39" s="1" t="n">
        <x:f>IFERROR(L39+VALUE(LEFT(P39,FIND(" ",P39)-1)),"")</x:f>
        <x:v>46260</x:v>
      </x:c>
      <x:c r="R39" s="1"/>
      <x:c r="S39" t="str">
        <x:v>18%</x:v>
      </x:c>
      <x:c r="T39" s="9" t="n">
        <x:v>72000</x:v>
      </x:c>
      <x:c r="U39" s="9" t="n">
        <x:v>0</x:v>
      </x:c>
      <x:c r="V39" s="9" t="n">
        <x:v>0</x:v>
      </x:c>
      <x:c r="W39" s="9" t="n">
        <x:v>12960</x:v>
      </x:c>
      <x:c r="X39" s="9" t="n">
        <x:f>IF(O39="Yes",T39*VALUE(LEFT(S39,LEN(S39)-1))/100,0)</x:f>
        <x:v>0</x:v>
      </x:c>
      <x:c r="Y39" s="9" t="n">
        <x:v>84960</x:v>
      </x:c>
      <x:c r="Z39" t="str">
        <x:f>IF(O39="Yes","RCM - recipient to pay",IF(M39=LEFT(D39,2)&amp;"",IF(W39&gt;0,"Intra-state: CGST/SGST","Check tax split"),IF(W39&gt;0,"Inter-state: IGST","Check tax split")))</x:f>
        <x:v>Inter-state: IGST</x:v>
      </x:c>
      <x:c r="AA39" t="str"/>
      <x:c r="AB39" t="str">
        <x:v>Not verified</x:v>
      </x:c>
      <x:c r="AC39" t="str">
        <x:v>Review</x:v>
      </x:c>
      <x:c r="AD39" t="str">
        <x:f>IF(R39&lt;&gt;"",IF(R39&lt;=L39+180,"Paid within 180 days","Over 180 days - reverse ITC"),IF($B$1="","Payment evidence needed",IF($B$1&gt;L39+180,"Over 180 days - payment evidence needed","Payment evidence needed")))</x:f>
        <x:v>Payment evidence needed</x:v>
      </x:c>
      <x:c r="AE39" t="str">
        <x:v>Professional / technical services</x:v>
      </x:c>
      <x:c r="AF39" t="str">
        <x:v>194J</x:v>
      </x:c>
      <x:c r="AG39" t="str">
        <x:v>393(1) resident-payee table</x:v>
      </x:c>
      <x:c r="AH39" t="str">
        <x:v>10%</x:v>
      </x:c>
      <x:c r="AI39" s="10" t="n">
        <x:v>72000</x:v>
      </x:c>
      <x:c r="AJ39" s="9" t="n">
        <x:f>IFERROR(IF(AH39="Review","",AI39*VALUE(LEFT(AH39,FIND("%",AH39)-1))/100),"")</x:f>
        <x:v>7200</x:v>
      </x:c>
      <x:c r="AK39" s="9"/>
      <x:c r="AL39" s="9"/>
      <x:c r="AM39" s="9" t="str">
        <x:v>Not verified</x:v>
      </x:c>
      <x:c r="AN39" t="str">
        <x:v>Not applicable</x:v>
      </x:c>
      <x:c r="AO39" t="str">
        <x:f>IF(J39="", "Not MSME", IF(R39&lt;&gt;"", IF(R39&lt;=L39+45,"Paid within 45 days","Over 45 days"), IF($B$1&gt;L39+45,"Payment evidence needed","Within 45-day window")))</x:f>
        <x:v>Payment evidence needed</x:v>
      </x:c>
      <x:c r="AP39" t="str">
        <x:f>IF(OR(G39="Mismatch",AD39="Over 180 days - reverse ITC",AO39="Over 45 days",AN39="Required"),"High risk",IF(OR(H39="Not verified",AB39="Not verified",AC39="Review",AK39="",AM39="Not verified"),"Needs attention","Compliant"))</x:f>
        <x:v>Needs attention</x:v>
      </x:c>
      <x:c r="AQ39" t="str">
        <x:v>Classify professional vs technical and confirm rate</x:v>
      </x:c>
    </x:row>
    <x:row r="40" ht="15" hidden="0" customHeight="1">
      <x:c r="A40" s="32" t="str">
        <x:v>INV-039</x:v>
      </x:c>
      <x:c r="B40" t="str">
        <x:v>INV39_Dr_Seema_Rao.pdf</x:v>
      </x:c>
      <x:c r="C40" t="str">
        <x:v>Dr. Seema Rao</x:v>
      </x:c>
      <x:c r="D40" s="8" t="str">
        <x:v>07AAKCN4821Q1ZV</x:v>
      </x:c>
      <x:c r="E40" s="8" t="str">
        <x:v>AJHPR8840K</x:v>
      </x:c>
      <x:c r="F40" t="str">
        <x:f>IF(AND(LEN(D40)=15,ISNUMBER(--LEFT(D40,2))),"Format OK","Check format")</x:f>
        <x:v>Format OK</x:v>
      </x:c>
      <x:c r="G40" t="str">
        <x:f>IF(AND(LEN(E40)=10,MID(D40,3,10)=E40),"Matches","Mismatch")</x:f>
        <x:v>Mismatch</x:v>
      </x:c>
      <x:c r="H40" t="str">
        <x:v>Not verified</x:v>
      </x:c>
      <x:c r="I40" t="str"/>
      <x:c r="J40" t="str"/>
      <x:c r="K40" t="str">
        <x:v>SR/HC/2026</x:v>
      </x:c>
      <x:c r="L40" s="1" t="d">
        <x:v>2026-09-03T00:00:00.000Z</x:v>
      </x:c>
      <x:c r="M40" t="str">
        <x:v>Delhi (07)</x:v>
      </x:c>
      <x:c r="N40" t="str">
        <x:v>07</x:v>
      </x:c>
      <x:c r="O40" t="str">
        <x:v>No</x:v>
      </x:c>
      <x:c r="P40" t="str"/>
      <x:c r="Q40" s="1" t="str">
        <x:f>IFERROR(L40+VALUE(LEFT(P40,FIND(" ",P40)-1)),"")</x:f>
      </x:c>
      <x:c r="R40" s="1"/>
      <x:c r="S40" t="str"/>
      <x:c r="T40" s="9"/>
      <x:c r="U40" s="9" t="n">
        <x:v>0</x:v>
      </x:c>
      <x:c r="V40" s="9" t="n">
        <x:v>0</x:v>
      </x:c>
      <x:c r="W40" s="9" t="n">
        <x:v>0</x:v>
      </x:c>
      <x:c r="X40" s="9" t="n">
        <x:f>IF(O40="Yes",T40*VALUE(LEFT(S40,LEN(S40)-1))/100,0)</x:f>
        <x:v>0</x:v>
      </x:c>
      <x:c r="Y40" s="9" t="n">
        <x:v>60000</x:v>
      </x:c>
      <x:c r="Z40" t="str">
        <x:f>IF(O40="Yes","RCM - recipient to pay",IF(M40=LEFT(D40,2)&amp;"",IF(W40&gt;0,"Intra-state: CGST/SGST","Check tax split"),IF(W40&gt;0,"Inter-state: IGST","Check tax split")))</x:f>
        <x:v>Check tax split</x:v>
      </x:c>
      <x:c r="AA40" t="str"/>
      <x:c r="AB40" t="str">
        <x:v>Not verified</x:v>
      </x:c>
      <x:c r="AC40" t="str">
        <x:v>Review</x:v>
      </x:c>
      <x:c r="AD40" t="str">
        <x:f>IF(R40&lt;&gt;"",IF(R40&lt;=L40+180,"Paid within 180 days","Over 180 days - reverse ITC"),IF($B$1="","Payment evidence needed",IF($B$1&gt;L40+180,"Over 180 days - payment evidence needed","Payment evidence needed")))</x:f>
        <x:v>Payment evidence needed</x:v>
      </x:c>
      <x:c r="AE40" t="str">
        <x:v>Professional / technical services</x:v>
      </x:c>
      <x:c r="AF40" t="str">
        <x:v>194J</x:v>
      </x:c>
      <x:c r="AG40" t="str">
        <x:v>393(1) resident-payee table</x:v>
      </x:c>
      <x:c r="AH40" t="str">
        <x:v>10%</x:v>
      </x:c>
      <x:c r="AI40" s="10"/>
      <x:c r="AJ40" s="9" t="n">
        <x:f>IFERROR(IF(AH40="Review","",AI40*VALUE(LEFT(AH40,FIND("%",AH40)-1))/100),"")</x:f>
        <x:v>0</x:v>
      </x:c>
      <x:c r="AK40" s="9"/>
      <x:c r="AL40" s="9"/>
      <x:c r="AM40" s="9" t="str">
        <x:v>Not verified</x:v>
      </x:c>
      <x:c r="AN40" t="str">
        <x:v>Not applicable</x:v>
      </x:c>
      <x:c r="AO40" t="str">
        <x:f>IF(J40="", "Not MSME", IF(R40&lt;&gt;"", IF(R40&lt;=L40+45,"Paid within 45 days","Over 45 days"), IF($B$1&gt;L40+45,"Payment evidence needed","Within 45-day window")))</x:f>
        <x:v>Not MSME</x:v>
      </x:c>
      <x:c r="AP40" t="str">
        <x:f>IF(OR(G40="Mismatch",AD40="Over 180 days - reverse ITC",AO40="Over 45 days",AN40="Required"),"High risk",IF(OR(H40="Not verified",AB40="Not verified",AC40="Review",AK40="",AM40="Not verified"),"Needs attention","Compliant"))</x:f>
        <x:v>High risk</x:v>
      </x:c>
      <x:c r="AQ40" t="str">
        <x:v>Classify professional vs technical and confirm rate</x:v>
      </x:c>
    </x:row>
    <x:row r="41" ht="15" hidden="0" customHeight="1">
      <x:c r="A41" s="32" t="str">
        <x:v>INV-040</x:v>
      </x:c>
      <x:c r="B41" t="str">
        <x:v>INV40_Vidya_Publishers_Private_Limit.pdf</x:v>
      </x:c>
      <x:c r="C41" t="str">
        <x:v>Vidya Publishers Private Limited</x:v>
      </x:c>
      <x:c r="D41" s="8" t="str">
        <x:v>09AAFCV6631N1ZQ</x:v>
      </x:c>
      <x:c r="E41" s="8" t="str">
        <x:v>AAFCV6631N</x:v>
      </x:c>
      <x:c r="F41" t="str">
        <x:f>IF(AND(LEN(D41)=15,ISNUMBER(--LEFT(D41,2))),"Format OK","Check format")</x:f>
        <x:v>Format OK</x:v>
      </x:c>
      <x:c r="G41" t="str">
        <x:f>IF(AND(LEN(E41)=10,MID(D41,3,10)=E41),"Matches","Mismatch")</x:f>
        <x:v>Matches</x:v>
      </x:c>
      <x:c r="H41" t="str">
        <x:v>Not verified</x:v>
      </x:c>
      <x:c r="I41" t="str">
        <x:v>UDYAM-UP-29-0098814</x:v>
      </x:c>
      <x:c r="J41" t="str">
        <x:v>Small Enterprise</x:v>
      </x:c>
      <x:c r="K41" t="str">
        <x:v>VPL/UP/2627/0322</x:v>
      </x:c>
      <x:c r="L41" s="1" t="d">
        <x:v>2026-06-16T00:00:00.000Z</x:v>
      </x:c>
      <x:c r="M41" t="str">
        <x:v>Delhi (07)</x:v>
      </x:c>
      <x:c r="N41" t="str">
        <x:v>09</x:v>
      </x:c>
      <x:c r="O41" t="str">
        <x:v>No</x:v>
      </x:c>
      <x:c r="P41" t="str">
        <x:v>60 days from invoice date</x:v>
      </x:c>
      <x:c r="Q41" s="1" t="n">
        <x:f>IFERROR(L41+VALUE(LEFT(P41,FIND(" ",P41)-1)),"")</x:f>
        <x:v>46249</x:v>
      </x:c>
      <x:c r="R41" s="1"/>
      <x:c r="S41" t="str">
        <x:v>0%</x:v>
      </x:c>
      <x:c r="T41" s="9" t="n">
        <x:v>540000</x:v>
      </x:c>
      <x:c r="U41" s="9" t="n">
        <x:v>0</x:v>
      </x:c>
      <x:c r="V41" s="9" t="n">
        <x:v>0</x:v>
      </x:c>
      <x:c r="W41" s="9" t="n">
        <x:v>0</x:v>
      </x:c>
      <x:c r="X41" s="9" t="n">
        <x:f>IF(O41="Yes",T41*VALUE(LEFT(S41,LEN(S41)-1))/100,0)</x:f>
        <x:v>0</x:v>
      </x:c>
      <x:c r="Y41" s="9" t="n">
        <x:v>540000</x:v>
      </x:c>
      <x:c r="Z41" t="str">
        <x:f>IF(O41="Yes","RCM - recipient to pay",IF(M41=LEFT(D41,2)&amp;"",IF(W41&gt;0,"Intra-state: CGST/SGST","Check tax split"),IF(W41&gt;0,"Inter-state: IGST","Check tax split")))</x:f>
        <x:v>Check tax split</x:v>
      </x:c>
      <x:c r="AA41" t="str"/>
      <x:c r="AB41" t="str">
        <x:v>Not verified</x:v>
      </x:c>
      <x:c r="AC41" t="str">
        <x:v>Review</x:v>
      </x:c>
      <x:c r="AD41" t="str">
        <x:f>IF(R41&lt;&gt;"",IF(R41&lt;=L41+180,"Paid within 180 days","Over 180 days - reverse ITC"),IF($B$1="","Payment evidence needed",IF($B$1&gt;L41+180,"Over 180 days - payment evidence needed","Payment evidence needed")))</x:f>
        <x:v>Payment evidence needed</x:v>
      </x:c>
      <x:c r="AE41" t="str">
        <x:v>TDS applicability review</x:v>
      </x:c>
      <x:c r="AF41" t="str">
        <x:v>Review</x:v>
      </x:c>
      <x:c r="AG41" t="str">
        <x:v>393(1) resident-payee table</x:v>
      </x:c>
      <x:c r="AH41" t="str">
        <x:v>Review</x:v>
      </x:c>
      <x:c r="AI41" s="10" t="n">
        <x:v>540000</x:v>
      </x:c>
      <x:c r="AJ41" s="9" t="str">
        <x:f>IFERROR(IF(AH41="Review","",AI41*VALUE(LEFT(AH41,FIND("%",AH41)-1))/100),"")</x:f>
      </x:c>
      <x:c r="AK41" s="9"/>
      <x:c r="AL41" s="9"/>
      <x:c r="AM41" s="9" t="str">
        <x:v>Not verified</x:v>
      </x:c>
      <x:c r="AN41" t="str">
        <x:v>Not applicable</x:v>
      </x:c>
      <x:c r="AO41" t="str">
        <x:f>IF(J41="", "Not MSME", IF(R41&lt;&gt;"", IF(R41&lt;=L41+45,"Paid within 45 days","Over 45 days"), IF($B$1&gt;L41+45,"Payment evidence needed","Within 45-day window")))</x:f>
        <x:v>Payment evidence needed</x:v>
      </x:c>
      <x:c r="AP41" t="str">
        <x:f>IF(OR(G41="Mismatch",AD41="Over 180 days - reverse ITC",AO41="Over 45 days",AN41="Required"),"High risk",IF(OR(H41="Not verified",AB41="Not verified",AC41="Review",AK41="",AM41="Not verified"),"Needs attention","Compliant"))</x:f>
        <x:v>Needs attention</x:v>
      </x:c>
      <x:c r="AQ41" t="str">
        <x:v>No automatic mapping; tax team to determine</x:v>
      </x:c>
    </x:row>
    <x:row r="42" ht="15" hidden="0" customHeight="1">
      <x:c r="A42" s="32" t="str">
        <x:v>INV-041</x:v>
      </x:c>
      <x:c r="B42" t="str">
        <x:v>INV41_Saraswati_Paper_Mart.pdf</x:v>
      </x:c>
      <x:c r="C42" t="str">
        <x:v>Saraswati Paper Mart (Prop. Deepak Jain)</x:v>
      </x:c>
      <x:c r="D42" s="8" t="str">
        <x:v>07AMJPJ4402B1ZM</x:v>
      </x:c>
      <x:c r="E42" s="8" t="str">
        <x:v>AMJPJ4402B</x:v>
      </x:c>
      <x:c r="F42" t="str">
        <x:f>IF(AND(LEN(D42)=15,ISNUMBER(--LEFT(D42,2))),"Format OK","Check format")</x:f>
        <x:v>Format OK</x:v>
      </x:c>
      <x:c r="G42" t="str">
        <x:f>IF(AND(LEN(E42)=10,MID(D42,3,10)=E42),"Matches","Mismatch")</x:f>
        <x:v>Matches</x:v>
      </x:c>
      <x:c r="H42" t="str">
        <x:v>Not verified</x:v>
      </x:c>
      <x:c r="I42" t="str">
        <x:v>UDYAM-DL-02-0019963</x:v>
      </x:c>
      <x:c r="J42" t="str">
        <x:v>Micro Enterprise (Trading)</x:v>
      </x:c>
      <x:c r="K42" t="str">
        <x:v>SPM/0911</x:v>
      </x:c>
      <x:c r="L42" s="1" t="d">
        <x:v>2026-06-20T00:00:00.000Z</x:v>
      </x:c>
      <x:c r="M42" t="str">
        <x:v>Delhi (07)</x:v>
      </x:c>
      <x:c r="N42" t="str">
        <x:v>07</x:v>
      </x:c>
      <x:c r="O42" t="str">
        <x:v>No</x:v>
      </x:c>
      <x:c r="P42" t="str">
        <x:v>15 days from invoice date</x:v>
      </x:c>
      <x:c r="Q42" s="1" t="n">
        <x:f>IFERROR(L42+VALUE(LEFT(P42,FIND(" ",P42)-1)),"")</x:f>
        <x:v>46208</x:v>
      </x:c>
      <x:c r="R42" s="1"/>
      <x:c r="S42" t="str">
        <x:v>0%</x:v>
      </x:c>
      <x:c r="T42" s="9" t="n">
        <x:v>90000</x:v>
      </x:c>
      <x:c r="U42" s="9" t="n">
        <x:v>0</x:v>
      </x:c>
      <x:c r="V42" s="9" t="n">
        <x:v>0</x:v>
      </x:c>
      <x:c r="W42" s="9" t="n">
        <x:v>0</x:v>
      </x:c>
      <x:c r="X42" s="9" t="n">
        <x:f>IF(O42="Yes",T42*VALUE(LEFT(S42,LEN(S42)-1))/100,0)</x:f>
        <x:v>0</x:v>
      </x:c>
      <x:c r="Y42" s="9" t="n">
        <x:v>90000</x:v>
      </x:c>
      <x:c r="Z42" t="str">
        <x:f>IF(O42="Yes","RCM - recipient to pay",IF(M42=LEFT(D42,2)&amp;"",IF(W42&gt;0,"Intra-state: CGST/SGST","Check tax split"),IF(W42&gt;0,"Inter-state: IGST","Check tax split")))</x:f>
        <x:v>Check tax split</x:v>
      </x:c>
      <x:c r="AA42" t="str"/>
      <x:c r="AB42" t="str">
        <x:v>Not verified</x:v>
      </x:c>
      <x:c r="AC42" t="str">
        <x:v>Review</x:v>
      </x:c>
      <x:c r="AD42" t="str">
        <x:f>IF(R42&lt;&gt;"",IF(R42&lt;=L42+180,"Paid within 180 days","Over 180 days - reverse ITC"),IF($B$1="","Payment evidence needed",IF($B$1&gt;L42+180,"Over 180 days - payment evidence needed","Payment evidence needed")))</x:f>
        <x:v>Payment evidence needed</x:v>
      </x:c>
      <x:c r="AE42" t="str">
        <x:v>TDS applicability review</x:v>
      </x:c>
      <x:c r="AF42" t="str">
        <x:v>Review</x:v>
      </x:c>
      <x:c r="AG42" t="str">
        <x:v>393(1) resident-payee table</x:v>
      </x:c>
      <x:c r="AH42" t="str">
        <x:v>Review</x:v>
      </x:c>
      <x:c r="AI42" s="10" t="n">
        <x:v>90000</x:v>
      </x:c>
      <x:c r="AJ42" s="9" t="str">
        <x:f>IFERROR(IF(AH42="Review","",AI42*VALUE(LEFT(AH42,FIND("%",AH42)-1))/100),"")</x:f>
      </x:c>
      <x:c r="AK42" s="9"/>
      <x:c r="AL42" s="9"/>
      <x:c r="AM42" s="9" t="str">
        <x:v>Not verified</x:v>
      </x:c>
      <x:c r="AN42" t="str">
        <x:v>Not applicable</x:v>
      </x:c>
      <x:c r="AO42" t="str">
        <x:f>IF(J42="", "Not MSME", IF(R42&lt;&gt;"", IF(R42&lt;=L42+45,"Paid within 45 days","Over 45 days"), IF($B$1&gt;L42+45,"Payment evidence needed","Within 45-day window")))</x:f>
        <x:v>Payment evidence needed</x:v>
      </x:c>
      <x:c r="AP42" t="str">
        <x:f>IF(OR(G42="Mismatch",AD42="Over 180 days - reverse ITC",AO42="Over 45 days",AN42="Required"),"High risk",IF(OR(H42="Not verified",AB42="Not verified",AC42="Review",AK42="",AM42="Not verified"),"Needs attention","Compliant"))</x:f>
        <x:v>Needs attention</x:v>
      </x:c>
      <x:c r="AQ42" t="str">
        <x:v>No automatic mapping; tax team to determine</x:v>
      </x:c>
    </x:row>
    <x:row r="43" ht="15" hidden="0" customHeight="1">
      <x:c r="A43" s="32" t="str">
        <x:v>INV-042</x:v>
      </x:c>
      <x:c r="B43" t="str">
        <x:v>INV42_AquaPure_Water_Suppliers.pdf</x:v>
      </x:c>
      <x:c r="C43" t="str">
        <x:v>AquaPure Water Suppliers</x:v>
      </x:c>
      <x:c r="D43" s="8" t="str">
        <x:v>07AAVFA1173K1Z4</x:v>
      </x:c>
      <x:c r="E43" s="8" t="str">
        <x:v>AAVFA1173K</x:v>
      </x:c>
      <x:c r="F43" t="str">
        <x:f>IF(AND(LEN(D43)=15,ISNUMBER(--LEFT(D43,2))),"Format OK","Check format")</x:f>
        <x:v>Format OK</x:v>
      </x:c>
      <x:c r="G43" t="str">
        <x:f>IF(AND(LEN(E43)=10,MID(D43,3,10)=E43),"Matches","Mismatch")</x:f>
        <x:v>Matches</x:v>
      </x:c>
      <x:c r="H43" t="str">
        <x:v>Not verified</x:v>
      </x:c>
      <x:c r="I43" t="str">
        <x:v>UDYAM-DL-06-0044702</x:v>
      </x:c>
      <x:c r="J43" t="str">
        <x:v>Micro Enterprise</x:v>
      </x:c>
      <x:c r="K43" t="str">
        <x:v>APW/26/0705</x:v>
      </x:c>
      <x:c r="L43" s="1" t="d">
        <x:v>2026-10-08T00:00:00.000Z</x:v>
      </x:c>
      <x:c r="M43" t="str">
        <x:v>Delhi (07)</x:v>
      </x:c>
      <x:c r="N43" t="str">
        <x:v>07</x:v>
      </x:c>
      <x:c r="O43" t="str">
        <x:v>No</x:v>
      </x:c>
      <x:c r="P43" t="str"/>
      <x:c r="Q43" s="1" t="str">
        <x:f>IFERROR(L43+VALUE(LEFT(P43,FIND(" ",P43)-1)),"")</x:f>
      </x:c>
      <x:c r="R43" s="1"/>
      <x:c r="S43" t="str">
        <x:v>5%</x:v>
      </x:c>
      <x:c r="T43" s="9" t="n">
        <x:v>21000</x:v>
      </x:c>
      <x:c r="U43" s="9" t="n">
        <x:v>525</x:v>
      </x:c>
      <x:c r="V43" s="9" t="n">
        <x:v>525</x:v>
      </x:c>
      <x:c r="W43" s="9" t="n">
        <x:v>0</x:v>
      </x:c>
      <x:c r="X43" s="9" t="n">
        <x:f>IF(O43="Yes",T43*VALUE(LEFT(S43,LEN(S43)-1))/100,0)</x:f>
        <x:v>0</x:v>
      </x:c>
      <x:c r="Y43" s="9" t="n">
        <x:v>22050</x:v>
      </x:c>
      <x:c r="Z43" t="str">
        <x:f>IF(O43="Yes","RCM - recipient to pay",IF(M43=LEFT(D43,2)&amp;"",IF(W43&gt;0,"Intra-state: CGST/SGST","Check tax split"),IF(W43&gt;0,"Inter-state: IGST","Check tax split")))</x:f>
        <x:v>Check tax split</x:v>
      </x:c>
      <x:c r="AA43" t="str"/>
      <x:c r="AB43" t="str">
        <x:v>Not verified</x:v>
      </x:c>
      <x:c r="AC43" t="str">
        <x:v>Review</x:v>
      </x:c>
      <x:c r="AD43" t="str">
        <x:f>IF(R43&lt;&gt;"",IF(R43&lt;=L43+180,"Paid within 180 days","Over 180 days - reverse ITC"),IF($B$1="","Payment evidence needed",IF($B$1&gt;L43+180,"Over 180 days - payment evidence needed","Payment evidence needed")))</x:f>
        <x:v>Payment evidence needed</x:v>
      </x:c>
      <x:c r="AE43" t="str">
        <x:v>Goods purchase review</x:v>
      </x:c>
      <x:c r="AF43" t="str">
        <x:v>194Q</x:v>
      </x:c>
      <x:c r="AG43" t="str">
        <x:v>393(1) [Table: Sl. No. 8(ii)]</x:v>
      </x:c>
      <x:c r="AH43" t="str">
        <x:v>0.1%</x:v>
      </x:c>
      <x:c r="AI43" s="10" t="n">
        <x:v>21000</x:v>
      </x:c>
      <x:c r="AJ43" s="9" t="n">
        <x:f>IFERROR(IF(AH43="Review","",AI43*VALUE(LEFT(AH43,FIND("%",AH43)-1))/100),"")</x:f>
        <x:v>21</x:v>
      </x:c>
      <x:c r="AK43" s="9"/>
      <x:c r="AL43" s="9"/>
      <x:c r="AM43" s="9" t="str">
        <x:v>Not verified</x:v>
      </x:c>
      <x:c r="AN43" t="str">
        <x:v>Not applicable</x:v>
      </x:c>
      <x:c r="AO43" t="str">
        <x:f>IF(J43="", "Not MSME", IF(R43&lt;&gt;"", IF(R43&lt;=L43+45,"Paid within 45 days","Over 45 days"), IF($B$1&gt;L43+45,"Payment evidence needed","Within 45-day window")))</x:f>
        <x:v>Within 45-day window</x:v>
      </x:c>
      <x:c r="AP43" t="str">
        <x:f>IF(OR(G43="Mismatch",AD43="Over 180 days - reverse ITC",AO43="Over 45 days",AN43="Required"),"High risk",IF(OR(H43="Not verified",AB43="Not verified",AC43="Review",AK43="",AM43="Not verified"),"Needs attention","Compliant"))</x:f>
        <x:v>Needs attention</x:v>
      </x:c>
      <x:c r="AQ43" t="str">
        <x:v>Apply only if buyer conditions and annual purchases threshold are met</x:v>
      </x:c>
    </x:row>
    <x:row r="44" ht="15" hidden="0" customHeight="1">
      <x:c r="A44" s="32" t="str">
        <x:v>INV-043</x:v>
      </x:c>
      <x:c r="B44" t="str">
        <x:v>INV43_Party_Supplies_Co.pdf</x:v>
      </x:c>
      <x:c r="C44" t="str">
        <x:v>Party Supplies Co. (Prop. Sunil Bhatia)</x:v>
      </x:c>
      <x:c r="D44" s="8" t="str">
        <x:v>07AQJPB6095D1ZX</x:v>
      </x:c>
      <x:c r="E44" s="8" t="str">
        <x:v>AQJPB6095D</x:v>
      </x:c>
      <x:c r="F44" t="str">
        <x:f>IF(AND(LEN(D44)=15,ISNUMBER(--LEFT(D44,2))),"Format OK","Check format")</x:f>
        <x:v>Format OK</x:v>
      </x:c>
      <x:c r="G44" t="str">
        <x:f>IF(AND(LEN(E44)=10,MID(D44,3,10)=E44),"Matches","Mismatch")</x:f>
        <x:v>Matches</x:v>
      </x:c>
      <x:c r="H44" t="str">
        <x:v>Not verified</x:v>
      </x:c>
      <x:c r="I44" t="str"/>
      <x:c r="J44" t="str"/>
      <x:c r="K44" t="str">
        <x:v>PSC/0287</x:v>
      </x:c>
      <x:c r="L44" s="1" t="d">
        <x:v>2026-09-14T00:00:00.000Z</x:v>
      </x:c>
      <x:c r="M44" t="str">
        <x:v>Delhi (07)</x:v>
      </x:c>
      <x:c r="N44" t="str">
        <x:v>07</x:v>
      </x:c>
      <x:c r="O44" t="str">
        <x:v>No</x:v>
      </x:c>
      <x:c r="P44" t="str"/>
      <x:c r="Q44" s="1" t="str">
        <x:f>IFERROR(L44+VALUE(LEFT(P44,FIND(" ",P44)-1)),"")</x:f>
      </x:c>
      <x:c r="R44" s="1"/>
      <x:c r="S44" t="str">
        <x:v>5%</x:v>
      </x:c>
      <x:c r="T44" s="9" t="n">
        <x:v>21600</x:v>
      </x:c>
      <x:c r="U44" s="9" t="n">
        <x:v>180</x:v>
      </x:c>
      <x:c r="V44" s="9" t="n">
        <x:v>180</x:v>
      </x:c>
      <x:c r="W44" s="9" t="n">
        <x:v>0</x:v>
      </x:c>
      <x:c r="X44" s="9" t="n">
        <x:f>IF(O44="Yes",T44*VALUE(LEFT(S44,LEN(S44)-1))/100,0)</x:f>
        <x:v>0</x:v>
      </x:c>
      <x:c r="Y44" s="9" t="n">
        <x:v>27720</x:v>
      </x:c>
      <x:c r="Z44" t="str">
        <x:f>IF(O44="Yes","RCM - recipient to pay",IF(M44=LEFT(D44,2)&amp;"",IF(W44&gt;0,"Intra-state: CGST/SGST","Check tax split"),IF(W44&gt;0,"Inter-state: IGST","Check tax split")))</x:f>
        <x:v>Check tax split</x:v>
      </x:c>
      <x:c r="AA44" t="str"/>
      <x:c r="AB44" t="str">
        <x:v>Not verified</x:v>
      </x:c>
      <x:c r="AC44" t="str">
        <x:v>Review</x:v>
      </x:c>
      <x:c r="AD44" t="str">
        <x:f>IF(R44&lt;&gt;"",IF(R44&lt;=L44+180,"Paid within 180 days","Over 180 days - reverse ITC"),IF($B$1="","Payment evidence needed",IF($B$1&gt;L44+180,"Over 180 days - payment evidence needed","Payment evidence needed")))</x:f>
        <x:v>Payment evidence needed</x:v>
      </x:c>
      <x:c r="AE44" t="str">
        <x:v>Goods purchase review</x:v>
      </x:c>
      <x:c r="AF44" t="str">
        <x:v>194Q</x:v>
      </x:c>
      <x:c r="AG44" t="str">
        <x:v>393(1) [Table: Sl. No. 8(ii)]</x:v>
      </x:c>
      <x:c r="AH44" t="str">
        <x:v>0.1%</x:v>
      </x:c>
      <x:c r="AI44" s="10" t="n">
        <x:v>21600</x:v>
      </x:c>
      <x:c r="AJ44" s="9" t="n">
        <x:f>IFERROR(IF(AH44="Review","",AI44*VALUE(LEFT(AH44,FIND("%",AH44)-1))/100),"")</x:f>
        <x:v>21.6</x:v>
      </x:c>
      <x:c r="AK44" s="9"/>
      <x:c r="AL44" s="9"/>
      <x:c r="AM44" s="9" t="str">
        <x:v>Not verified</x:v>
      </x:c>
      <x:c r="AN44" t="str">
        <x:v>Not applicable</x:v>
      </x:c>
      <x:c r="AO44" t="str">
        <x:f>IF(J44="", "Not MSME", IF(R44&lt;&gt;"", IF(R44&lt;=L44+45,"Paid within 45 days","Over 45 days"), IF($B$1&gt;L44+45,"Payment evidence needed","Within 45-day window")))</x:f>
        <x:v>Not MSME</x:v>
      </x:c>
      <x:c r="AP44" t="str">
        <x:f>IF(OR(G44="Mismatch",AD44="Over 180 days - reverse ITC",AO44="Over 45 days",AN44="Required"),"High risk",IF(OR(H44="Not verified",AB44="Not verified",AC44="Review",AK44="",AM44="Not verified"),"Needs attention","Compliant"))</x:f>
        <x:v>Needs attention</x:v>
      </x:c>
      <x:c r="AQ44" t="str">
        <x:v>Apply only if buyer conditions and annual purchases threshold are met</x:v>
      </x:c>
    </x:row>
    <x:row r="45" ht="15" hidden="0" customHeight="1">
      <x:c r="A45" s="32" t="str">
        <x:v>INV-044</x:v>
      </x:c>
      <x:c r="B45" t="str">
        <x:v>INV44_MediCare_Pharma_Distributors.pdf</x:v>
      </x:c>
      <x:c r="C45" t="str">
        <x:v>MediCare Pharma Distributors</x:v>
      </x:c>
      <x:c r="D45" s="8" t="str">
        <x:v>07AAOFM3388L1ZK</x:v>
      </x:c>
      <x:c r="E45" s="8" t="str">
        <x:v>AAOFM3388L</x:v>
      </x:c>
      <x:c r="F45" t="str">
        <x:f>IF(AND(LEN(D45)=15,ISNUMBER(--LEFT(D45,2))),"Format OK","Check format")</x:f>
        <x:v>Format OK</x:v>
      </x:c>
      <x:c r="G45" t="str">
        <x:f>IF(AND(LEN(E45)=10,MID(D45,3,10)=E45),"Matches","Mismatch")</x:f>
        <x:v>Matches</x:v>
      </x:c>
      <x:c r="H45" t="str">
        <x:v>Not verified</x:v>
      </x:c>
      <x:c r="I45" t="str">
        <x:v>UDYAM-DL-02-0050719</x:v>
      </x:c>
      <x:c r="J45" t="str">
        <x:v>Small Enterprise (Trading)</x:v>
      </x:c>
      <x:c r="K45" t="str">
        <x:v>MCPD/2627/1418</x:v>
      </x:c>
      <x:c r="L45" s="1" t="d">
        <x:v>2026-07-27T00:00:00.000Z</x:v>
      </x:c>
      <x:c r="M45" t="str">
        <x:v>Delhi (07)</x:v>
      </x:c>
      <x:c r="N45" t="str">
        <x:v>07</x:v>
      </x:c>
      <x:c r="O45" t="str">
        <x:v>No</x:v>
      </x:c>
      <x:c r="P45" t="str">
        <x:v>30 days from invoice date</x:v>
      </x:c>
      <x:c r="Q45" s="1" t="n">
        <x:f>IFERROR(L45+VALUE(LEFT(P45,FIND(" ",P45)-1)),"")</x:f>
        <x:v>46260</x:v>
      </x:c>
      <x:c r="R45" s="1"/>
      <x:c r="S45" t="str">
        <x:v>5%</x:v>
      </x:c>
      <x:c r="T45" s="9" t="n">
        <x:v>17000</x:v>
      </x:c>
      <x:c r="U45" s="9" t="n">
        <x:v>425</x:v>
      </x:c>
      <x:c r="V45" s="9" t="n">
        <x:v>425</x:v>
      </x:c>
      <x:c r="W45" s="9" t="n">
        <x:v>0</x:v>
      </x:c>
      <x:c r="X45" s="9" t="n">
        <x:f>IF(O45="Yes",T45*VALUE(LEFT(S45,LEN(S45)-1))/100,0)</x:f>
        <x:v>0</x:v>
      </x:c>
      <x:c r="Y45" s="9" t="n">
        <x:v>17850</x:v>
      </x:c>
      <x:c r="Z45" t="str">
        <x:f>IF(O45="Yes","RCM - recipient to pay",IF(M45=LEFT(D45,2)&amp;"",IF(W45&gt;0,"Intra-state: CGST/SGST","Check tax split"),IF(W45&gt;0,"Inter-state: IGST","Check tax split")))</x:f>
        <x:v>Check tax split</x:v>
      </x:c>
      <x:c r="AA45" t="str"/>
      <x:c r="AB45" t="str">
        <x:v>Not verified</x:v>
      </x:c>
      <x:c r="AC45" t="str">
        <x:v>Review</x:v>
      </x:c>
      <x:c r="AD45" t="str">
        <x:f>IF(R45&lt;&gt;"",IF(R45&lt;=L45+180,"Paid within 180 days","Over 180 days - reverse ITC"),IF($B$1="","Payment evidence needed",IF($B$1&gt;L45+180,"Over 180 days - payment evidence needed","Payment evidence needed")))</x:f>
        <x:v>Payment evidence needed</x:v>
      </x:c>
      <x:c r="AE45" t="str">
        <x:v>Goods purchase review</x:v>
      </x:c>
      <x:c r="AF45" t="str">
        <x:v>194Q</x:v>
      </x:c>
      <x:c r="AG45" t="str">
        <x:v>393(1) [Table: Sl. No. 8(ii)]</x:v>
      </x:c>
      <x:c r="AH45" t="str">
        <x:v>0.1%</x:v>
      </x:c>
      <x:c r="AI45" s="10" t="n">
        <x:v>17000</x:v>
      </x:c>
      <x:c r="AJ45" s="9" t="n">
        <x:f>IFERROR(IF(AH45="Review","",AI45*VALUE(LEFT(AH45,FIND("%",AH45)-1))/100),"")</x:f>
        <x:v>17</x:v>
      </x:c>
      <x:c r="AK45" s="9"/>
      <x:c r="AL45" s="9"/>
      <x:c r="AM45" s="9" t="str">
        <x:v>Not verified</x:v>
      </x:c>
      <x:c r="AN45" t="str">
        <x:v>Not applicable</x:v>
      </x:c>
      <x:c r="AO45" t="str">
        <x:f>IF(J45="", "Not MSME", IF(R45&lt;&gt;"", IF(R45&lt;=L45+45,"Paid within 45 days","Over 45 days"), IF($B$1&gt;L45+45,"Payment evidence needed","Within 45-day window")))</x:f>
        <x:v>Payment evidence needed</x:v>
      </x:c>
      <x:c r="AP45" t="str">
        <x:f>IF(OR(G45="Mismatch",AD45="Over 180 days - reverse ITC",AO45="Over 45 days",AN45="Required"),"High risk",IF(OR(H45="Not verified",AB45="Not verified",AC45="Review",AK45="",AM45="Not verified"),"Needs attention","Compliant"))</x:f>
        <x:v>Needs attention</x:v>
      </x:c>
      <x:c r="AQ45" t="str">
        <x:v>Apply only if buyer conditions and annual purchases threshold are met</x:v>
      </x:c>
    </x:row>
    <x:row r="46" ht="15" hidden="0" customHeight="1">
      <x:c r="A46" s="32" t="str">
        <x:v>INV-045</x:v>
      </x:c>
      <x:c r="B46" t="str">
        <x:v>INV45_Ramesh_Electricals.pdf</x:v>
      </x:c>
      <x:c r="C46" t="str">
        <x:v>Ramesh Electricals (Prop. Ramesh Pal)</x:v>
      </x:c>
      <x:c r="D46" s="8" t="str">
        <x:v>07AAKCN4821Q1ZV</x:v>
      </x:c>
      <x:c r="E46" s="8" t="str">
        <x:v>CPKPP5512G</x:v>
      </x:c>
      <x:c r="F46" t="str">
        <x:f>IF(AND(LEN(D46)=15,ISNUMBER(--LEFT(D46,2))),"Format OK","Check format")</x:f>
        <x:v>Format OK</x:v>
      </x:c>
      <x:c r="G46" t="str">
        <x:f>IF(AND(LEN(E46)=10,MID(D46,3,10)=E46),"Matches","Mismatch")</x:f>
        <x:v>Mismatch</x:v>
      </x:c>
      <x:c r="H46" t="str">
        <x:v>Not verified</x:v>
      </x:c>
      <x:c r="I46" t="str"/>
      <x:c r="J46" t="str"/>
      <x:c r="K46" t="str">
        <x:v>RE-33</x:v>
      </x:c>
      <x:c r="L46" s="1" t="d">
        <x:v>2026-08-26T00:00:00.000Z</x:v>
      </x:c>
      <x:c r="M46" t="str">
        <x:v>Delhi (07)</x:v>
      </x:c>
      <x:c r="N46" t="str">
        <x:v>07</x:v>
      </x:c>
      <x:c r="O46" t="str">
        <x:v>No</x:v>
      </x:c>
      <x:c r="P46" t="str"/>
      <x:c r="Q46" s="1" t="str">
        <x:f>IFERROR(L46+VALUE(LEFT(P46,FIND(" ",P46)-1)),"")</x:f>
      </x:c>
      <x:c r="R46" s="1"/>
      <x:c r="S46" t="str"/>
      <x:c r="T46" s="9"/>
      <x:c r="U46" s="9" t="n">
        <x:v>0</x:v>
      </x:c>
      <x:c r="V46" s="9" t="n">
        <x:v>0</x:v>
      </x:c>
      <x:c r="W46" s="9" t="n">
        <x:v>0</x:v>
      </x:c>
      <x:c r="X46" s="9" t="n">
        <x:f>IF(O46="Yes",T46*VALUE(LEFT(S46,LEN(S46)-1))/100,0)</x:f>
        <x:v>0</x:v>
      </x:c>
      <x:c r="Y46" s="9" t="n">
        <x:v>28000</x:v>
      </x:c>
      <x:c r="Z46" t="str">
        <x:f>IF(O46="Yes","RCM - recipient to pay",IF(M46=LEFT(D46,2)&amp;"",IF(W46&gt;0,"Intra-state: CGST/SGST","Check tax split"),IF(W46&gt;0,"Inter-state: IGST","Check tax split")))</x:f>
        <x:v>Check tax split</x:v>
      </x:c>
      <x:c r="AA46" t="str"/>
      <x:c r="AB46" t="str">
        <x:v>Not verified</x:v>
      </x:c>
      <x:c r="AC46" t="str">
        <x:v>Review</x:v>
      </x:c>
      <x:c r="AD46" t="str">
        <x:f>IF(R46&lt;&gt;"",IF(R46&lt;=L46+180,"Paid within 180 days","Over 180 days - reverse ITC"),IF($B$1="","Payment evidence needed",IF($B$1&gt;L46+180,"Over 180 days - payment evidence needed","Payment evidence needed")))</x:f>
        <x:v>Payment evidence needed</x:v>
      </x:c>
      <x:c r="AE46" t="str">
        <x:v>TDS applicability review</x:v>
      </x:c>
      <x:c r="AF46" t="str">
        <x:v>Review</x:v>
      </x:c>
      <x:c r="AG46" t="str">
        <x:v>393(1) resident-payee table</x:v>
      </x:c>
      <x:c r="AH46" t="str">
        <x:v>Review</x:v>
      </x:c>
      <x:c r="AI46" s="10"/>
      <x:c r="AJ46" s="9" t="str">
        <x:f>IFERROR(IF(AH46="Review","",AI46*VALUE(LEFT(AH46,FIND("%",AH46)-1))/100),"")</x:f>
      </x:c>
      <x:c r="AK46" s="9"/>
      <x:c r="AL46" s="9"/>
      <x:c r="AM46" s="9" t="str">
        <x:v>Not verified</x:v>
      </x:c>
      <x:c r="AN46" t="str">
        <x:v>Not applicable</x:v>
      </x:c>
      <x:c r="AO46" t="str">
        <x:f>IF(J46="", "Not MSME", IF(R46&lt;&gt;"", IF(R46&lt;=L46+45,"Paid within 45 days","Over 45 days"), IF($B$1&gt;L46+45,"Payment evidence needed","Within 45-day window")))</x:f>
        <x:v>Not MSME</x:v>
      </x:c>
      <x:c r="AP46" t="str">
        <x:f>IF(OR(G46="Mismatch",AD46="Over 180 days - reverse ITC",AO46="Over 45 days",AN46="Required"),"High risk",IF(OR(H46="Not verified",AB46="Not verified",AC46="Review",AK46="",AM46="Not verified"),"Needs attention","Compliant"))</x:f>
        <x:v>High risk</x:v>
      </x:c>
      <x:c r="AQ46" t="str">
        <x:v>No automatic mapping; tax team to determine</x:v>
      </x:c>
    </x:row>
    <x:row r="47" ht="15" hidden="0" customHeight="1">
      <x:c r="A47" s="32" t="str">
        <x:v>INV-046</x:v>
      </x:c>
      <x:c r="B47" t="str">
        <x:v>INV46_Buildcraft_Interiors_LLP.pdf</x:v>
      </x:c>
      <x:c r="C47" t="str">
        <x:v>Buildcraft Interiors LLP</x:v>
      </x:c>
      <x:c r="D47" s="8" t="str">
        <x:v>06AAPFB7720C1ZN</x:v>
      </x:c>
      <x:c r="E47" s="8" t="str">
        <x:v>AAPFB7720C</x:v>
      </x:c>
      <x:c r="F47" t="str">
        <x:f>IF(AND(LEN(D47)=15,ISNUMBER(--LEFT(D47,2))),"Format OK","Check format")</x:f>
        <x:v>Format OK</x:v>
      </x:c>
      <x:c r="G47" t="str">
        <x:f>IF(AND(LEN(E47)=10,MID(D47,3,10)=E47),"Matches","Mismatch")</x:f>
        <x:v>Matches</x:v>
      </x:c>
      <x:c r="H47" t="str">
        <x:v>Not verified</x:v>
      </x:c>
      <x:c r="I47" t="str">
        <x:v>UDYAM-HR-05-0071190</x:v>
      </x:c>
      <x:c r="J47" t="str">
        <x:v>Small Enterprise (Services)</x:v>
      </x:c>
      <x:c r="K47" t="str">
        <x:v>BCI/HR/2627/019</x:v>
      </x:c>
      <x:c r="L47" s="1" t="d">
        <x:v>2026-09-25T00:00:00.000Z</x:v>
      </x:c>
      <x:c r="M47" t="str">
        <x:v>Haryana (06)</x:v>
      </x:c>
      <x:c r="N47" t="str">
        <x:v>06</x:v>
      </x:c>
      <x:c r="O47" t="str">
        <x:v>No</x:v>
      </x:c>
      <x:c r="P47" t="str">
        <x:v>45 days from invoice date</x:v>
      </x:c>
      <x:c r="Q47" s="1" t="n">
        <x:f>IFERROR(L47+VALUE(LEFT(P47,FIND(" ",P47)-1)),"")</x:f>
        <x:v>46335</x:v>
      </x:c>
      <x:c r="R47" s="1"/>
      <x:c r="S47" t="str">
        <x:v>18%</x:v>
      </x:c>
      <x:c r="T47" s="9" t="n">
        <x:v>1850000</x:v>
      </x:c>
      <x:c r="U47" s="9" t="n">
        <x:v>166500</x:v>
      </x:c>
      <x:c r="V47" s="9" t="n">
        <x:v>166500</x:v>
      </x:c>
      <x:c r="W47" s="9" t="n">
        <x:v>0</x:v>
      </x:c>
      <x:c r="X47" s="9" t="n">
        <x:f>IF(O47="Yes",T47*VALUE(LEFT(S47,LEN(S47)-1))/100,0)</x:f>
        <x:v>0</x:v>
      </x:c>
      <x:c r="Y47" s="9" t="n">
        <x:v>2183000</x:v>
      </x:c>
      <x:c r="Z47" t="str">
        <x:f>IF(O47="Yes","RCM - recipient to pay",IF(M47=LEFT(D47,2)&amp;"",IF(W47&gt;0,"Intra-state: CGST/SGST","Check tax split"),IF(W47&gt;0,"Inter-state: IGST","Check tax split")))</x:f>
        <x:v>Check tax split</x:v>
      </x:c>
      <x:c r="AA47" t="str"/>
      <x:c r="AB47" t="str">
        <x:v>Not verified</x:v>
      </x:c>
      <x:c r="AC47" t="str">
        <x:v>Review</x:v>
      </x:c>
      <x:c r="AD47" t="str">
        <x:f>IF(R47&lt;&gt;"",IF(R47&lt;=L47+180,"Paid within 180 days","Over 180 days - reverse ITC"),IF($B$1="","Payment evidence needed",IF($B$1&gt;L47+180,"Over 180 days - payment evidence needed","Payment evidence needed")))</x:f>
        <x:v>Payment evidence needed</x:v>
      </x:c>
      <x:c r="AE47" t="str">
        <x:v>Contract / work</x:v>
      </x:c>
      <x:c r="AF47" t="str">
        <x:v>194C</x:v>
      </x:c>
      <x:c r="AG47" t="str">
        <x:v>393(1) [Table: Sl. No. 6(i)]</x:v>
      </x:c>
      <x:c r="AH47" t="str">
        <x:v>2%</x:v>
      </x:c>
      <x:c r="AI47" s="10" t="n">
        <x:v>1850000</x:v>
      </x:c>
      <x:c r="AJ47" s="9" t="n">
        <x:f>IFERROR(IF(AH47="Review","",AI47*VALUE(LEFT(AH47,FIND("%",AH47)-1))/100),"")</x:f>
        <x:v>37000</x:v>
      </x:c>
      <x:c r="AK47" s="9"/>
      <x:c r="AL47" s="9"/>
      <x:c r="AM47" s="9" t="str">
        <x:v>Not verified</x:v>
      </x:c>
      <x:c r="AN47" t="str">
        <x:v>Not applicable</x:v>
      </x:c>
      <x:c r="AO47" t="str">
        <x:f>IF(J47="", "Not MSME", IF(R47&lt;&gt;"", IF(R47&lt;=L47+45,"Paid within 45 days","Over 45 days"), IF($B$1&gt;L47+45,"Payment evidence needed","Within 45-day window")))</x:f>
        <x:v>Within 45-day window</x:v>
      </x:c>
      <x:c r="AP47" t="str">
        <x:f>IF(OR(G47="Mismatch",AD47="Over 180 days - reverse ITC",AO47="Over 45 days",AN47="Required"),"High risk",IF(OR(H47="Not verified",AB47="Not verified",AC47="Review",AK47="",AM47="Not verified"),"Needs attention","Compliant"))</x:f>
        <x:v>Needs attention</x:v>
      </x:c>
      <x:c r="AQ47" t="str">
        <x:v>Confirm payee constitution; individual/HUF rate may be 1%</x:v>
      </x:c>
    </x:row>
    <x:row r="48" ht="15" hidden="0" customHeight="1">
      <x:c r="A48" s="32" t="str">
        <x:v>INV-047</x:v>
      </x:c>
      <x:c r="B48" t="str">
        <x:v>INV47_Sethi_Architects.pdf</x:v>
      </x:c>
      <x:c r="C48" t="str">
        <x:v>Sethi Architects</x:v>
      </x:c>
      <x:c r="D48" s="8" t="str">
        <x:v>07AAJFS2245Q1ZN</x:v>
      </x:c>
      <x:c r="E48" s="8" t="str">
        <x:v>AAJFS2245Q</x:v>
      </x:c>
      <x:c r="F48" t="str">
        <x:f>IF(AND(LEN(D48)=15,ISNUMBER(--LEFT(D48,2))),"Format OK","Check format")</x:f>
        <x:v>Format OK</x:v>
      </x:c>
      <x:c r="G48" t="str">
        <x:f>IF(AND(LEN(E48)=10,MID(D48,3,10)=E48),"Matches","Mismatch")</x:f>
        <x:v>Matches</x:v>
      </x:c>
      <x:c r="H48" t="str">
        <x:v>Not verified</x:v>
      </x:c>
      <x:c r="I48" t="str">
        <x:v>UDYAM-DL-08-0035512</x:v>
      </x:c>
      <x:c r="J48" t="str">
        <x:v>Micro Enterprise (Services)</x:v>
      </x:c>
      <x:c r="K48" t="str">
        <x:v>SA/ARC/26-27/05</x:v>
      </x:c>
      <x:c r="L48" s="1" t="d">
        <x:v>2026-08-18T00:00:00.000Z</x:v>
      </x:c>
      <x:c r="M48" t="str">
        <x:v>Delhi (07)</x:v>
      </x:c>
      <x:c r="N48" t="str">
        <x:v>07</x:v>
      </x:c>
      <x:c r="O48" t="str">
        <x:v>No</x:v>
      </x:c>
      <x:c r="P48" t="str">
        <x:v>30 days from invoice date</x:v>
      </x:c>
      <x:c r="Q48" s="1" t="n">
        <x:f>IFERROR(L48+VALUE(LEFT(P48,FIND(" ",P48)-1)),"")</x:f>
        <x:v>46282</x:v>
      </x:c>
      <x:c r="R48" s="1"/>
      <x:c r="S48" t="str">
        <x:v>0%</x:v>
      </x:c>
      <x:c r="T48" s="9" t="n">
        <x:v>235400</x:v>
      </x:c>
      <x:c r="U48" s="9" t="n">
        <x:v>18000</x:v>
      </x:c>
      <x:c r="V48" s="9" t="n">
        <x:v>18000</x:v>
      </x:c>
      <x:c r="W48" s="9" t="n">
        <x:v>0</x:v>
      </x:c>
      <x:c r="X48" s="9" t="n">
        <x:f>IF(O48="Yes",T48*VALUE(LEFT(S48,LEN(S48)-1))/100,0)</x:f>
        <x:v>0</x:v>
      </x:c>
      <x:c r="Y48" s="9" t="n">
        <x:v>271400</x:v>
      </x:c>
      <x:c r="Z48" t="str">
        <x:f>IF(O48="Yes","RCM - recipient to pay",IF(M48=LEFT(D48,2)&amp;"",IF(W48&gt;0,"Intra-state: CGST/SGST","Check tax split"),IF(W48&gt;0,"Inter-state: IGST","Check tax split")))</x:f>
        <x:v>Check tax split</x:v>
      </x:c>
      <x:c r="AA48" t="str"/>
      <x:c r="AB48" t="str">
        <x:v>Not verified</x:v>
      </x:c>
      <x:c r="AC48" t="str">
        <x:v>Review</x:v>
      </x:c>
      <x:c r="AD48" t="str">
        <x:f>IF(R48&lt;&gt;"",IF(R48&lt;=L48+180,"Paid within 180 days","Over 180 days - reverse ITC"),IF($B$1="","Payment evidence needed",IF($B$1&gt;L48+180,"Over 180 days - payment evidence needed","Payment evidence needed")))</x:f>
        <x:v>Payment evidence needed</x:v>
      </x:c>
      <x:c r="AE48" t="str">
        <x:v>Professional / technical services</x:v>
      </x:c>
      <x:c r="AF48" t="str">
        <x:v>194J</x:v>
      </x:c>
      <x:c r="AG48" t="str">
        <x:v>393(1) resident-payee table</x:v>
      </x:c>
      <x:c r="AH48" t="str">
        <x:v>10%</x:v>
      </x:c>
      <x:c r="AI48" s="10" t="n">
        <x:v>235400</x:v>
      </x:c>
      <x:c r="AJ48" s="9" t="n">
        <x:f>IFERROR(IF(AH48="Review","",AI48*VALUE(LEFT(AH48,FIND("%",AH48)-1))/100),"")</x:f>
        <x:v>23540</x:v>
      </x:c>
      <x:c r="AK48" s="9"/>
      <x:c r="AL48" s="9"/>
      <x:c r="AM48" s="9" t="str">
        <x:v>Not verified</x:v>
      </x:c>
      <x:c r="AN48" t="str">
        <x:v>Not applicable</x:v>
      </x:c>
      <x:c r="AO48" t="str">
        <x:f>IF(J48="", "Not MSME", IF(R48&lt;&gt;"", IF(R48&lt;=L48+45,"Paid within 45 days","Over 45 days"), IF($B$1&gt;L48+45,"Payment evidence needed","Within 45-day window")))</x:f>
        <x:v>Payment evidence needed</x:v>
      </x:c>
      <x:c r="AP48" t="str">
        <x:f>IF(OR(G48="Mismatch",AD48="Over 180 days - reverse ITC",AO48="Over 45 days",AN48="Required"),"High risk",IF(OR(H48="Not verified",AB48="Not verified",AC48="Review",AK48="",AM48="Not verified"),"Needs attention","Compliant"))</x:f>
        <x:v>Needs attention</x:v>
      </x:c>
      <x:c r="AQ48" t="str">
        <x:v>Classify professional vs technical and confirm rate</x:v>
      </x:c>
    </x:row>
    <x:row r="49" ht="15" hidden="0" customHeight="1">
      <x:c r="A49" s="32" t="str">
        <x:v>INV-048</x:v>
      </x:c>
      <x:c r="B49" t="str">
        <x:v>INV48_Swachh_Facility_Services.pdf</x:v>
      </x:c>
      <x:c r="C49" t="str">
        <x:v>Swachh Facility Services</x:v>
      </x:c>
      <x:c r="D49" s="8" t="str">
        <x:v>07AAXFS2290R1Z2</x:v>
      </x:c>
      <x:c r="E49" s="8" t="str">
        <x:v>AAXFS2290R</x:v>
      </x:c>
      <x:c r="F49" t="str">
        <x:f>IF(AND(LEN(D49)=15,ISNUMBER(--LEFT(D49,2))),"Format OK","Check format")</x:f>
        <x:v>Format OK</x:v>
      </x:c>
      <x:c r="G49" t="str">
        <x:f>IF(AND(LEN(E49)=10,MID(D49,3,10)=E49),"Matches","Mismatch")</x:f>
        <x:v>Matches</x:v>
      </x:c>
      <x:c r="H49" t="str">
        <x:v>Not verified</x:v>
      </x:c>
      <x:c r="I49" t="str">
        <x:v>UDYAM-DL-08-0077310</x:v>
      </x:c>
      <x:c r="J49" t="str">
        <x:v>Micro Enterprise (Services)</x:v>
      </x:c>
      <x:c r="K49" t="str"/>
      <x:c r="L49" s="1" t="d">
        <x:v>2026-08-05T00:00:00.000Z</x:v>
      </x:c>
      <x:c r="M49" t="str">
        <x:v>Delhi (07)</x:v>
      </x:c>
      <x:c r="N49" t="str">
        <x:v>07</x:v>
      </x:c>
      <x:c r="O49" t="str">
        <x:v>No</x:v>
      </x:c>
      <x:c r="P49" t="str"/>
      <x:c r="Q49" s="1" t="str">
        <x:f>IFERROR(L49+VALUE(LEFT(P49,FIND(" ",P49)-1)),"")</x:f>
      </x:c>
      <x:c r="R49" s="1"/>
      <x:c r="S49" t="str">
        <x:v>18%</x:v>
      </x:c>
      <x:c r="T49" s="9" t="n">
        <x:v>14280</x:v>
      </x:c>
      <x:c r="U49" s="9" t="n">
        <x:v>1285.2</x:v>
      </x:c>
      <x:c r="V49" s="9" t="n">
        <x:v>1285.2</x:v>
      </x:c>
      <x:c r="W49" s="9" t="n">
        <x:v>0</x:v>
      </x:c>
      <x:c r="X49" s="9" t="n">
        <x:f>IF(O49="Yes",T49*VALUE(LEFT(S49,LEN(S49)-1))/100,0)</x:f>
        <x:v>0</x:v>
      </x:c>
      <x:c r="Y49" s="9" t="n">
        <x:v>16850.4</x:v>
      </x:c>
      <x:c r="Z49" t="str">
        <x:f>IF(O49="Yes","RCM - recipient to pay",IF(M49=LEFT(D49,2)&amp;"",IF(W49&gt;0,"Intra-state: CGST/SGST","Check tax split"),IF(W49&gt;0,"Inter-state: IGST","Check tax split")))</x:f>
        <x:v>Check tax split</x:v>
      </x:c>
      <x:c r="AA49" t="str"/>
      <x:c r="AB49" t="str">
        <x:v>Not verified</x:v>
      </x:c>
      <x:c r="AC49" t="str">
        <x:v>Review</x:v>
      </x:c>
      <x:c r="AD49" t="str">
        <x:f>IF(R49&lt;&gt;"",IF(R49&lt;=L49+180,"Paid within 180 days","Over 180 days - reverse ITC"),IF($B$1="","Payment evidence needed",IF($B$1&gt;L49+180,"Over 180 days - payment evidence needed","Payment evidence needed")))</x:f>
        <x:v>Payment evidence needed</x:v>
      </x:c>
      <x:c r="AE49" t="str">
        <x:v>TDS applicability review</x:v>
      </x:c>
      <x:c r="AF49" t="str">
        <x:v>Review</x:v>
      </x:c>
      <x:c r="AG49" t="str">
        <x:v>393(1) resident-payee table</x:v>
      </x:c>
      <x:c r="AH49" t="str">
        <x:v>Review</x:v>
      </x:c>
      <x:c r="AI49" s="10" t="n">
        <x:v>14280</x:v>
      </x:c>
      <x:c r="AJ49" s="9" t="str">
        <x:f>IFERROR(IF(AH49="Review","",AI49*VALUE(LEFT(AH49,FIND("%",AH49)-1))/100),"")</x:f>
      </x:c>
      <x:c r="AK49" s="9"/>
      <x:c r="AL49" s="9"/>
      <x:c r="AM49" s="9" t="str">
        <x:v>Not verified</x:v>
      </x:c>
      <x:c r="AN49" t="str">
        <x:v>Not applicable</x:v>
      </x:c>
      <x:c r="AO49" t="str">
        <x:f>IF(J49="", "Not MSME", IF(R49&lt;&gt;"", IF(R49&lt;=L49+45,"Paid within 45 days","Over 45 days"), IF($B$1&gt;L49+45,"Payment evidence needed","Within 45-day window")))</x:f>
        <x:v>Payment evidence needed</x:v>
      </x:c>
      <x:c r="AP49" t="str">
        <x:f>IF(OR(G49="Mismatch",AD49="Over 180 days - reverse ITC",AO49="Over 45 days",AN49="Required"),"High risk",IF(OR(H49="Not verified",AB49="Not verified",AC49="Review",AK49="",AM49="Not verified"),"Needs attention","Compliant"))</x:f>
        <x:v>Needs attention</x:v>
      </x:c>
      <x:c r="AQ49" t="str">
        <x:v>No automatic mapping; tax team to determine</x:v>
      </x:c>
    </x:row>
    <x:row r="50" ht="15" hidden="0" customHeight="1">
      <x:c r="A50" s="32" t="str">
        <x:v>INV-049</x:v>
      </x:c>
      <x:c r="B50" t="str">
        <x:v>INV49_Bharat_Infra_Works.pdf</x:v>
      </x:c>
      <x:c r="C50" t="str">
        <x:v>Bharat Infra Works</x:v>
      </x:c>
      <x:c r="D50" s="8" t="str">
        <x:v>07AAKFB4492D1ZH</x:v>
      </x:c>
      <x:c r="E50" s="8" t="str">
        <x:v>AAKFB4492D</x:v>
      </x:c>
      <x:c r="F50" t="str">
        <x:f>IF(AND(LEN(D50)=15,ISNUMBER(--LEFT(D50,2))),"Format OK","Check format")</x:f>
        <x:v>Format OK</x:v>
      </x:c>
      <x:c r="G50" t="str">
        <x:f>IF(AND(LEN(E50)=10,MID(D50,3,10)=E50),"Matches","Mismatch")</x:f>
        <x:v>Matches</x:v>
      </x:c>
      <x:c r="H50" t="str">
        <x:v>Not verified</x:v>
      </x:c>
      <x:c r="I50" t="str">
        <x:v>UDYAM-DL-09-0082231</x:v>
      </x:c>
      <x:c r="J50" t="str">
        <x:v>Small Enterprise (Services)</x:v>
      </x:c>
      <x:c r="K50" t="str">
        <x:v>BIW/PI/2026/07</x:v>
      </x:c>
      <x:c r="L50" s="1" t="d">
        <x:v>2026-07-10T00:00:00.000Z</x:v>
      </x:c>
      <x:c r="M50" t="str">
        <x:v>Delhi (07)</x:v>
      </x:c>
      <x:c r="N50" t="str">
        <x:v>07</x:v>
      </x:c>
      <x:c r="O50" t="str">
        <x:v>No</x:v>
      </x:c>
      <x:c r="P50" t="str">
        <x:v>7 days from invoice date</x:v>
      </x:c>
      <x:c r="Q50" s="1" t="n">
        <x:f>IFERROR(L50+VALUE(LEFT(P50,FIND(" ",P50)-1)),"")</x:f>
        <x:v>46220</x:v>
      </x:c>
      <x:c r="R50" s="1"/>
      <x:c r="S50" t="str">
        <x:v>18%</x:v>
      </x:c>
      <x:c r="T50" s="9" t="n">
        <x:v>600000</x:v>
      </x:c>
      <x:c r="U50" s="9" t="n">
        <x:v>54000</x:v>
      </x:c>
      <x:c r="V50" s="9" t="n">
        <x:v>54000</x:v>
      </x:c>
      <x:c r="W50" s="9" t="n">
        <x:v>0</x:v>
      </x:c>
      <x:c r="X50" s="9" t="n">
        <x:f>IF(O50="Yes",T50*VALUE(LEFT(S50,LEN(S50)-1))/100,0)</x:f>
        <x:v>0</x:v>
      </x:c>
      <x:c r="Y50" s="9" t="n">
        <x:v>708000</x:v>
      </x:c>
      <x:c r="Z50" t="str">
        <x:f>IF(O50="Yes","RCM - recipient to pay",IF(M50=LEFT(D50,2)&amp;"",IF(W50&gt;0,"Intra-state: CGST/SGST","Check tax split"),IF(W50&gt;0,"Inter-state: IGST","Check tax split")))</x:f>
        <x:v>Check tax split</x:v>
      </x:c>
      <x:c r="AA50" t="str"/>
      <x:c r="AB50" t="str">
        <x:v>Not verified</x:v>
      </x:c>
      <x:c r="AC50" t="str">
        <x:v>Review</x:v>
      </x:c>
      <x:c r="AD50" t="str">
        <x:f>IF(R50&lt;&gt;"",IF(R50&lt;=L50+180,"Paid within 180 days","Over 180 days - reverse ITC"),IF($B$1="","Payment evidence needed",IF($B$1&gt;L50+180,"Over 180 days - payment evidence needed","Payment evidence needed")))</x:f>
        <x:v>Payment evidence needed</x:v>
      </x:c>
      <x:c r="AE50" t="str">
        <x:v>TDS applicability review</x:v>
      </x:c>
      <x:c r="AF50" t="str">
        <x:v>Review</x:v>
      </x:c>
      <x:c r="AG50" t="str">
        <x:v>393(1) resident-payee table</x:v>
      </x:c>
      <x:c r="AH50" t="str">
        <x:v>Review</x:v>
      </x:c>
      <x:c r="AI50" s="10" t="n">
        <x:v>600000</x:v>
      </x:c>
      <x:c r="AJ50" s="9" t="str">
        <x:f>IFERROR(IF(AH50="Review","",AI50*VALUE(LEFT(AH50,FIND("%",AH50)-1))/100),"")</x:f>
      </x:c>
      <x:c r="AK50" s="9"/>
      <x:c r="AL50" s="9"/>
      <x:c r="AM50" s="9" t="str">
        <x:v>Not verified</x:v>
      </x:c>
      <x:c r="AN50" t="str">
        <x:v>Not applicable</x:v>
      </x:c>
      <x:c r="AO50" t="str">
        <x:f>IF(J50="", "Not MSME", IF(R50&lt;&gt;"", IF(R50&lt;=L50+45,"Paid within 45 days","Over 45 days"), IF($B$1&gt;L50+45,"Payment evidence needed","Within 45-day window")))</x:f>
        <x:v>Payment evidence needed</x:v>
      </x:c>
      <x:c r="AP50" t="str">
        <x:f>IF(OR(G50="Mismatch",AD50="Over 180 days - reverse ITC",AO50="Over 45 days",AN50="Required"),"High risk",IF(OR(H50="Not verified",AB50="Not verified",AC50="Review",AK50="",AM50="Not verified"),"Needs attention","Compliant"))</x:f>
        <x:v>Needs attention</x:v>
      </x:c>
      <x:c r="AQ50" t="str">
        <x:v>No automatic mapping; tax team to determine</x:v>
      </x:c>
    </x:row>
    <x:row r="51" ht="15" hidden="0" customHeight="1">
      <x:c r="A51" s="32" t="str">
        <x:v>INV-050</x:v>
      </x:c>
      <x:c r="B51" t="str">
        <x:v>INV50_Indian_EdTech_Industry_Associa.pdf</x:v>
      </x:c>
      <x:c r="C51" t="str">
        <x:v>Indian EdTech Industry Association</x:v>
      </x:c>
      <x:c r="D51" s="8" t="str">
        <x:v>07AABTI5530P1ZC</x:v>
      </x:c>
      <x:c r="E51" s="8" t="str">
        <x:v>AABTI5530P</x:v>
      </x:c>
      <x:c r="F51" t="str">
        <x:f>IF(AND(LEN(D51)=15,ISNUMBER(--LEFT(D51,2))),"Format OK","Check format")</x:f>
        <x:v>Format OK</x:v>
      </x:c>
      <x:c r="G51" t="str">
        <x:f>IF(AND(LEN(E51)=10,MID(D51,3,10)=E51),"Matches","Mismatch")</x:f>
        <x:v>Matches</x:v>
      </x:c>
      <x:c r="H51" t="str">
        <x:v>Not verified</x:v>
      </x:c>
      <x:c r="I51" t="str"/>
      <x:c r="J51" t="str"/>
      <x:c r="K51" t="str">
        <x:v>IEIA/MEM/2026/219</x:v>
      </x:c>
      <x:c r="L51" s="1" t="d">
        <x:v>2026-04-10T00:00:00.000Z</x:v>
      </x:c>
      <x:c r="M51" t="str">
        <x:v>Delhi (07)</x:v>
      </x:c>
      <x:c r="N51" t="str">
        <x:v>07</x:v>
      </x:c>
      <x:c r="O51" t="str">
        <x:v>No</x:v>
      </x:c>
      <x:c r="P51" t="str"/>
      <x:c r="Q51" s="1" t="str">
        <x:f>IFERROR(L51+VALUE(LEFT(P51,FIND(" ",P51)-1)),"")</x:f>
      </x:c>
      <x:c r="R51" s="1"/>
      <x:c r="S51" t="str">
        <x:v>18%</x:v>
      </x:c>
      <x:c r="T51" s="9" t="n">
        <x:v>50000</x:v>
      </x:c>
      <x:c r="U51" s="9" t="n">
        <x:v>4500</x:v>
      </x:c>
      <x:c r="V51" s="9" t="n">
        <x:v>4500</x:v>
      </x:c>
      <x:c r="W51" s="9" t="n">
        <x:v>0</x:v>
      </x:c>
      <x:c r="X51" s="9" t="n">
        <x:f>IF(O51="Yes",T51*VALUE(LEFT(S51,LEN(S51)-1))/100,0)</x:f>
        <x:v>0</x:v>
      </x:c>
      <x:c r="Y51" s="9" t="n">
        <x:v>59000</x:v>
      </x:c>
      <x:c r="Z51" t="str">
        <x:f>IF(O51="Yes","RCM - recipient to pay",IF(M51=LEFT(D51,2)&amp;"",IF(W51&gt;0,"Intra-state: CGST/SGST","Check tax split"),IF(W51&gt;0,"Inter-state: IGST","Check tax split")))</x:f>
        <x:v>Check tax split</x:v>
      </x:c>
      <x:c r="AA51" t="str"/>
      <x:c r="AB51" t="str">
        <x:v>Not verified</x:v>
      </x:c>
      <x:c r="AC51" t="str">
        <x:v>Review</x:v>
      </x:c>
      <x:c r="AD51" t="str">
        <x:f>IF(R51&lt;&gt;"",IF(R51&lt;=L51+180,"Paid within 180 days","Over 180 days - reverse ITC"),IF($B$1="","Payment evidence needed",IF($B$1&gt;L51+180,"Over 180 days - payment evidence needed","Payment evidence needed")))</x:f>
        <x:v>Over 180 days - payment evidence needed</x:v>
      </x:c>
      <x:c r="AE51" t="str">
        <x:v>TDS applicability review</x:v>
      </x:c>
      <x:c r="AF51" t="str">
        <x:v>Review</x:v>
      </x:c>
      <x:c r="AG51" t="str">
        <x:v>393(1) resident-payee table</x:v>
      </x:c>
      <x:c r="AH51" t="str">
        <x:v>Review</x:v>
      </x:c>
      <x:c r="AI51" s="10" t="n">
        <x:v>50000</x:v>
      </x:c>
      <x:c r="AJ51" s="9" t="str">
        <x:f>IFERROR(IF(AH51="Review","",AI51*VALUE(LEFT(AH51,FIND("%",AH51)-1))/100),"")</x:f>
      </x:c>
      <x:c r="AK51" s="9"/>
      <x:c r="AL51" s="9"/>
      <x:c r="AM51" s="9" t="str">
        <x:v>Not verified</x:v>
      </x:c>
      <x:c r="AN51" t="str">
        <x:v>Not applicable</x:v>
      </x:c>
      <x:c r="AO51" t="str">
        <x:f>IF(J51="", "Not MSME", IF(R51&lt;&gt;"", IF(R51&lt;=L51+45,"Paid within 45 days","Over 45 days"), IF($B$1&gt;L51+45,"Payment evidence needed","Within 45-day window")))</x:f>
        <x:v>Not MSME</x:v>
      </x:c>
      <x:c r="AP51" t="str">
        <x:f>IF(OR(G51="Mismatch",AD51="Over 180 days - reverse ITC",AO51="Over 45 days",AN51="Required"),"High risk",IF(OR(H51="Not verified",AB51="Not verified",AC51="Review",AK51="",AM51="Not verified"),"Needs attention","Compliant"))</x:f>
        <x:v>Needs attention</x:v>
      </x:c>
      <x:c r="AQ51" t="str">
        <x:v>No automatic mapping; tax team to determine</x:v>
      </x:c>
    </x:row>
  </x:sheetData>
  <x:conditionalFormatting sqref="AP2:AP51">
    <x:cfRule type="containsText" dxfId="0" priority="1" operator="containsText" text="High risk"/>
    <x:cfRule type="containsText" dxfId="1" priority="2" operator="containsText" text="Needs attention"/>
    <x:cfRule type="containsText" dxfId="2" priority="3" operator="containsText" text="Compliant"/>
  </x:conditionalFormatting>
  <x:dataValidations count="6">
    <x:dataValidation type="list" sqref="H2:H51">
      <x:formula1>"Not verified,Active,Inactive,Cancelled"</x:formula1>
    </x:dataValidation>
    <x:dataValidation type="list" sqref="AB2:AB51">
      <x:formula1>"Not verified,Matched,Not in 2B,Ineligible"</x:formula1>
    </x:dataValidation>
    <x:dataValidation type="list" sqref="AC2:AC51">
      <x:formula1>"Review,Eligible,Blocked - section 17(5),Ineligible"</x:formula1>
    </x:dataValidation>
    <x:dataValidation type="list" sqref="AL2:AL51">
      <x:formula1>"Not verified,Deducted,Not applicable"</x:formula1>
    </x:dataValidation>
    <x:dataValidation type="list" sqref="AM2:AM51">
      <x:formula1>"Not verified,Deposited,Overdue,Not applicable"</x:formula1>
    </x:dataValidation>
    <x:dataValidation type="list" sqref="AN2:AN51">
      <x:formula1>"Not verified,Reported,Not reported,Not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996be99b1048a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8.380000114440918" hidden="0" customWidth="1"/>
    <x:col min="3" max="3" width="30" hidden="0" customWidth="1"/>
    <x:col min="4" max="4" width="16.5" hidden="0" customWidth="1"/>
    <x:col min="5" max="5" width="44.880001068115234" hidden="0" customWidth="1"/>
    <x:col min="6" max="6" width="10.630000114440918" hidden="0" customWidth="1"/>
    <x:col min="7" max="7" width="13.75" hidden="0" customWidth="1"/>
    <x:col min="8" max="8" width="12.25" hidden="0" customWidth="1"/>
    <x:col min="9" max="9" width="60" hidden="0" customWidth="1"/>
    <x:col min="10" max="10" width="8.130000114440918" hidden="0" customWidth="1"/>
    <x:col min="11" max="11" width="5.630000114440918" hidden="0" customWidth="1"/>
  </x:cols>
  <x:sheetData>
    <x:row r="1">
      <x:c r="A1" s="41" t="str">
        <x:v>Exception ID</x:v>
      </x:c>
      <x:c r="B1" s="41" t="str">
        <x:v>Record ID</x:v>
      </x:c>
      <x:c r="C1" s="41" t="str">
        <x:v>Vendor</x:v>
      </x:c>
      <x:c r="D1" s="41" t="str">
        <x:v>Invoice No.</x:v>
      </x:c>
      <x:c r="E1" s="41" t="str">
        <x:v>Exception Type</x:v>
      </x:c>
      <x:c r="F1" s="41" t="str">
        <x:v>Control Area</x:v>
      </x:c>
      <x:c r="G1" s="41" t="str">
        <x:v>Amount at Stake</x:v>
      </x:c>
      <x:c r="H1" s="41" t="str">
        <x:v>Risk</x:v>
      </x:c>
      <x:c r="I1" s="41" t="str">
        <x:v>Suggested Action</x:v>
      </x:c>
      <x:c r="J1" s="41" t="str">
        <x:v>Owner</x:v>
      </x:c>
      <x:c r="K1" s="41" t="str">
        <x:v>Status</x:v>
      </x:c>
    </x:row>
    <x:row r="2">
      <x:c r="A2" s="33" t="str">
        <x:v>EX-001</x:v>
      </x:c>
      <x:c r="B2" s="33" t="str">
        <x:v>INV-001</x:v>
      </x:c>
      <x:c r="C2" s="33" t="str">
        <x:v>Mehra &amp; Associates, Chartered Accountants</x:v>
      </x:c>
      <x:c r="D2" s="33" t="str">
        <x:v>MA/26-27/118</x:v>
      </x:c>
      <x:c r="E2" s="33" t="str">
        <x:v>GSTIN active-status evidence missing</x:v>
      </x:c>
      <x:c r="F2" s="33" t="str">
        <x:v>GST</x:v>
      </x:c>
      <x:c r="G2" s="34" t="n">
        <x:v>531000</x:v>
      </x:c>
      <x:c r="H2" s="33" t="str">
        <x:v>Needs attention</x:v>
      </x:c>
      <x:c r="I2" s="33" t="str">
        <x:v>Check GST portal registration status and effective date.</x:v>
      </x:c>
      <x:c r="J2" s="33" t="str">
        <x:v>Tax team</x:v>
      </x:c>
      <x:c r="K2" s="33" t="str">
        <x:v>Open</x:v>
      </x:c>
    </x:row>
    <x:row r="3">
      <x:c r="A3" s="33" t="str">
        <x:v>EX-002</x:v>
      </x:c>
      <x:c r="B3" s="33" t="str">
        <x:v>INV-001</x:v>
      </x:c>
      <x:c r="C3" s="33" t="str">
        <x:v>Mehra &amp; Associates, Chartered Accountants</x:v>
      </x:c>
      <x:c r="D3" s="33" t="str">
        <x:v>MA/26-27/118</x:v>
      </x:c>
      <x:c r="E3" s="33" t="str">
        <x:v>GSTR-2B reconciliation not evidenced</x:v>
      </x:c>
      <x:c r="F3" s="33" t="str">
        <x:v>GST</x:v>
      </x:c>
      <x:c r="G3" s="34" t="n">
        <x:v>81000</x:v>
      </x:c>
      <x:c r="H3" s="33" t="str">
        <x:v>Needs attention</x:v>
      </x:c>
      <x:c r="I3" s="33" t="str">
        <x:v>Reconcile invoice and ITC eligibility to GSTR-2B; retain export.</x:v>
      </x:c>
      <x:c r="J3" s="33" t="str">
        <x:v>GST team</x:v>
      </x:c>
      <x:c r="K3" s="33" t="str">
        <x:v>Open</x:v>
      </x:c>
    </x:row>
    <x:row r="4">
      <x:c r="A4" s="33" t="str">
        <x:v>EX-003</x:v>
      </x:c>
      <x:c r="B4" s="33" t="str">
        <x:v>INV-001</x:v>
      </x:c>
      <x:c r="C4" s="33" t="str">
        <x:v>Mehra &amp; Associates, Chartered Accountants</x:v>
      </x:c>
      <x:c r="D4" s="33" t="str">
        <x:v>MA/26-27/118</x:v>
      </x:c>
      <x:c r="E4" s="33" t="str">
        <x:v>Payment date / bank evidence missing</x:v>
      </x:c>
      <x:c r="F4" s="33" t="str">
        <x:v>GST / MSME</x:v>
      </x:c>
      <x:c r="G4" s="34" t="n">
        <x:v>531000</x:v>
      </x:c>
      <x:c r="H4" s="33" t="str">
        <x:v>Needs attention</x:v>
      </x:c>
      <x:c r="I4" s="33" t="str">
        <x:v>Enter payment date and bank reference; test 180-day ITC and 45-day MSME clocks.</x:v>
      </x:c>
      <x:c r="J4" s="33" t="str">
        <x:v>AP team</x:v>
      </x:c>
      <x:c r="K4" s="33" t="str">
        <x:v>Open</x:v>
      </x:c>
    </x:row>
    <x:row r="5">
      <x:c r="A5" s="33" t="str">
        <x:v>EX-004</x:v>
      </x:c>
      <x:c r="B5" s="33" t="str">
        <x:v>INV-001</x:v>
      </x:c>
      <x:c r="C5" s="33" t="str">
        <x:v>Mehra &amp; Associates, Chartered Accountants</x:v>
      </x:c>
      <x:c r="D5" s="33" t="str">
        <x:v>MA/26-27/118</x:v>
      </x:c>
      <x:c r="E5" s="33" t="str">
        <x:v>TDS deduction, deposit and return evidence missing (194J)</x:v>
      </x:c>
      <x:c r="F5" s="33" t="str">
        <x:v>TDS</x:v>
      </x:c>
      <x:c r="G5" s="34" t="n">
        <x:v>450000</x:v>
      </x:c>
      <x:c r="H5" s="33" t="str">
        <x:v>Needs attention</x:v>
      </x:c>
      <x:c r="I5" s="33" t="str">
        <x:v>Classify professional vs technical and confirm rate</x:v>
      </x:c>
      <x:c r="J5" s="33" t="str">
        <x:v>TDS team</x:v>
      </x:c>
      <x:c r="K5" s="33" t="str">
        <x:v>Open</x:v>
      </x:c>
    </x:row>
    <x:row r="6">
      <x:c r="A6" s="33" t="str">
        <x:v>EX-005</x:v>
      </x:c>
      <x:c r="B6" s="33" t="str">
        <x:v>INV-002</x:v>
      </x:c>
      <x:c r="C6" s="33" t="str">
        <x:v>Cloudnest Technologies Private Limited</x:v>
      </x:c>
      <x:c r="D6" s="33" t="str">
        <x:v>CNT/KA/2026/0934</x:v>
      </x:c>
      <x:c r="E6" s="33" t="str">
        <x:v>GSTIN active-status evidence missing</x:v>
      </x:c>
      <x:c r="F6" s="33" t="str">
        <x:v>GST</x:v>
      </x:c>
      <x:c r="G6" s="34" t="n">
        <x:v>377600</x:v>
      </x:c>
      <x:c r="H6" s="33" t="str">
        <x:v>Needs attention</x:v>
      </x:c>
      <x:c r="I6" s="33" t="str">
        <x:v>Check GST portal registration status and effective date.</x:v>
      </x:c>
      <x:c r="J6" s="33" t="str">
        <x:v>Tax team</x:v>
      </x:c>
      <x:c r="K6" s="33" t="str">
        <x:v>Open</x:v>
      </x:c>
    </x:row>
    <x:row r="7">
      <x:c r="A7" s="33" t="str">
        <x:v>EX-006</x:v>
      </x:c>
      <x:c r="B7" s="33" t="str">
        <x:v>INV-002</x:v>
      </x:c>
      <x:c r="C7" s="33" t="str">
        <x:v>Cloudnest Technologies Private Limited</x:v>
      </x:c>
      <x:c r="D7" s="33" t="str">
        <x:v>CNT/KA/2026/0934</x:v>
      </x:c>
      <x:c r="E7" s="33" t="str">
        <x:v>GSTR-2B reconciliation not evidenced</x:v>
      </x:c>
      <x:c r="F7" s="33" t="str">
        <x:v>GST</x:v>
      </x:c>
      <x:c r="G7" s="34" t="n">
        <x:v>57600</x:v>
      </x:c>
      <x:c r="H7" s="33" t="str">
        <x:v>Needs attention</x:v>
      </x:c>
      <x:c r="I7" s="33" t="str">
        <x:v>Reconcile invoice and ITC eligibility to GSTR-2B; retain export.</x:v>
      </x:c>
      <x:c r="J7" s="33" t="str">
        <x:v>GST team</x:v>
      </x:c>
      <x:c r="K7" s="33" t="str">
        <x:v>Open</x:v>
      </x:c>
    </x:row>
    <x:row r="8">
      <x:c r="A8" s="33" t="str">
        <x:v>EX-007</x:v>
      </x:c>
      <x:c r="B8" s="33" t="str">
        <x:v>INV-002</x:v>
      </x:c>
      <x:c r="C8" s="33" t="str">
        <x:v>Cloudnest Technologies Private Limited</x:v>
      </x:c>
      <x:c r="D8" s="33" t="str">
        <x:v>CNT/KA/2026/0934</x:v>
      </x:c>
      <x:c r="E8" s="33" t="str">
        <x:v>Payment date / bank evidence missing</x:v>
      </x:c>
      <x:c r="F8" s="33" t="str">
        <x:v>GST / MSME</x:v>
      </x:c>
      <x:c r="G8" s="34" t="n">
        <x:v>377600</x:v>
      </x:c>
      <x:c r="H8" s="33" t="str">
        <x:v>Needs attention</x:v>
      </x:c>
      <x:c r="I8" s="33" t="str">
        <x:v>Enter payment date and bank reference; test 180-day ITC and 45-day MSME clocks.</x:v>
      </x:c>
      <x:c r="J8" s="33" t="str">
        <x:v>AP team</x:v>
      </x:c>
      <x:c r="K8" s="33" t="str">
        <x:v>Open</x:v>
      </x:c>
    </x:row>
    <x:row r="9">
      <x:c r="A9" s="33" t="str">
        <x:v>EX-008</x:v>
      </x:c>
      <x:c r="B9" s="33" t="str">
        <x:v>INV-003</x:v>
      </x:c>
      <x:c r="C9" s="33" t="str">
        <x:v>Ritika Sharma (Interior Design Consultant)</x:v>
      </x:c>
      <x:c r="D9" s="33" t="str">
        <x:v>RS-ID-014</x:v>
      </x:c>
      <x:c r="E9" s="33" t="str">
        <x:v>GSTIN active-status evidence missing</x:v>
      </x:c>
      <x:c r="F9" s="33" t="str">
        <x:v>GST</x:v>
      </x:c>
      <x:c r="G9" s="34" t="n">
        <x:v>129800</x:v>
      </x:c>
      <x:c r="H9" s="33" t="str">
        <x:v>Needs attention</x:v>
      </x:c>
      <x:c r="I9" s="33" t="str">
        <x:v>Check GST portal registration status and effective date.</x:v>
      </x:c>
      <x:c r="J9" s="33" t="str">
        <x:v>Tax team</x:v>
      </x:c>
      <x:c r="K9" s="33" t="str">
        <x:v>Open</x:v>
      </x:c>
    </x:row>
    <x:row r="10">
      <x:c r="A10" s="33" t="str">
        <x:v>EX-009</x:v>
      </x:c>
      <x:c r="B10" s="33" t="str">
        <x:v>INV-003</x:v>
      </x:c>
      <x:c r="C10" s="33" t="str">
        <x:v>Ritika Sharma (Interior Design Consultant)</x:v>
      </x:c>
      <x:c r="D10" s="33" t="str">
        <x:v>RS-ID-014</x:v>
      </x:c>
      <x:c r="E10" s="33" t="str">
        <x:v>GSTR-2B reconciliation not evidenced</x:v>
      </x:c>
      <x:c r="F10" s="33" t="str">
        <x:v>GST</x:v>
      </x:c>
      <x:c r="G10" s="34" t="n">
        <x:v>19800</x:v>
      </x:c>
      <x:c r="H10" s="33" t="str">
        <x:v>Needs attention</x:v>
      </x:c>
      <x:c r="I10" s="33" t="str">
        <x:v>Reconcile invoice and ITC eligibility to GSTR-2B; retain export.</x:v>
      </x:c>
      <x:c r="J10" s="33" t="str">
        <x:v>GST team</x:v>
      </x:c>
      <x:c r="K10" s="33" t="str">
        <x:v>Open</x:v>
      </x:c>
    </x:row>
    <x:row r="11">
      <x:c r="A11" s="33" t="str">
        <x:v>EX-010</x:v>
      </x:c>
      <x:c r="B11" s="33" t="str">
        <x:v>INV-003</x:v>
      </x:c>
      <x:c r="C11" s="33" t="str">
        <x:v>Ritika Sharma (Interior Design Consultant)</x:v>
      </x:c>
      <x:c r="D11" s="33" t="str">
        <x:v>RS-ID-014</x:v>
      </x:c>
      <x:c r="E11" s="33" t="str">
        <x:v>Payment date / bank evidence missing</x:v>
      </x:c>
      <x:c r="F11" s="33" t="str">
        <x:v>GST / MSME</x:v>
      </x:c>
      <x:c r="G11" s="34" t="n">
        <x:v>129800</x:v>
      </x:c>
      <x:c r="H11" s="33" t="str">
        <x:v>Needs attention</x:v>
      </x:c>
      <x:c r="I11" s="33" t="str">
        <x:v>Enter payment date and bank reference; test 180-day ITC and 45-day MSME clocks.</x:v>
      </x:c>
      <x:c r="J11" s="33" t="str">
        <x:v>AP team</x:v>
      </x:c>
      <x:c r="K11" s="33" t="str">
        <x:v>Open</x:v>
      </x:c>
    </x:row>
    <x:row r="12">
      <x:c r="A12" s="33" t="str">
        <x:v>EX-011</x:v>
      </x:c>
      <x:c r="B12" s="33" t="str">
        <x:v>INV-003</x:v>
      </x:c>
      <x:c r="C12" s="33" t="str">
        <x:v>Ritika Sharma (Interior Design Consultant)</x:v>
      </x:c>
      <x:c r="D12" s="33" t="str">
        <x:v>RS-ID-014</x:v>
      </x:c>
      <x:c r="E12" s="33" t="str">
        <x:v>TDS deduction, deposit and return evidence missing (194J)</x:v>
      </x:c>
      <x:c r="F12" s="33" t="str">
        <x:v>TDS</x:v>
      </x:c>
      <x:c r="G12" s="34" t="n">
        <x:v>110000</x:v>
      </x:c>
      <x:c r="H12" s="33" t="str">
        <x:v>Needs attention</x:v>
      </x:c>
      <x:c r="I12" s="33" t="str">
        <x:v>Classify professional vs technical and confirm rate</x:v>
      </x:c>
      <x:c r="J12" s="33" t="str">
        <x:v>TDS team</x:v>
      </x:c>
      <x:c r="K12" s="33" t="str">
        <x:v>Open</x:v>
      </x:c>
    </x:row>
    <x:row r="13">
      <x:c r="A13" s="33" t="str">
        <x:v>EX-012</x:v>
      </x:c>
      <x:c r="B13" s="33" t="str">
        <x:v>INV-004</x:v>
      </x:c>
      <x:c r="C13" s="33" t="str">
        <x:v>Swachh Facility Services</x:v>
      </x:c>
      <x:c r="D13" s="33" t="str">
        <x:v>SFS/26-27/041</x:v>
      </x:c>
      <x:c r="E13" s="33" t="str">
        <x:v>GSTIN active-status evidence missing</x:v>
      </x:c>
      <x:c r="F13" s="33" t="str">
        <x:v>GST</x:v>
      </x:c>
      <x:c r="G13" s="34" t="n">
        <x:v>148680</x:v>
      </x:c>
      <x:c r="H13" s="33" t="str">
        <x:v>Needs attention</x:v>
      </x:c>
      <x:c r="I13" s="33" t="str">
        <x:v>Check GST portal registration status and effective date.</x:v>
      </x:c>
      <x:c r="J13" s="33" t="str">
        <x:v>Tax team</x:v>
      </x:c>
      <x:c r="K13" s="33" t="str">
        <x:v>Open</x:v>
      </x:c>
    </x:row>
    <x:row r="14">
      <x:c r="A14" s="33" t="str">
        <x:v>EX-013</x:v>
      </x:c>
      <x:c r="B14" s="33" t="str">
        <x:v>INV-004</x:v>
      </x:c>
      <x:c r="C14" s="33" t="str">
        <x:v>Swachh Facility Services</x:v>
      </x:c>
      <x:c r="D14" s="33" t="str">
        <x:v>SFS/26-27/041</x:v>
      </x:c>
      <x:c r="E14" s="33" t="str">
        <x:v>GSTR-2B reconciliation not evidenced</x:v>
      </x:c>
      <x:c r="F14" s="33" t="str">
        <x:v>GST</x:v>
      </x:c>
      <x:c r="G14" s="34" t="n">
        <x:v>22680</x:v>
      </x:c>
      <x:c r="H14" s="33" t="str">
        <x:v>Needs attention</x:v>
      </x:c>
      <x:c r="I14" s="33" t="str">
        <x:v>Reconcile invoice and ITC eligibility to GSTR-2B; retain export.</x:v>
      </x:c>
      <x:c r="J14" s="33" t="str">
        <x:v>GST team</x:v>
      </x:c>
      <x:c r="K14" s="33" t="str">
        <x:v>Open</x:v>
      </x:c>
    </x:row>
    <x:row r="15">
      <x:c r="A15" s="33" t="str">
        <x:v>EX-014</x:v>
      </x:c>
      <x:c r="B15" s="33" t="str">
        <x:v>INV-004</x:v>
      </x:c>
      <x:c r="C15" s="33" t="str">
        <x:v>Swachh Facility Services</x:v>
      </x:c>
      <x:c r="D15" s="33" t="str">
        <x:v>SFS/26-27/041</x:v>
      </x:c>
      <x:c r="E15" s="33" t="str">
        <x:v>Payment date / bank evidence missing</x:v>
      </x:c>
      <x:c r="F15" s="33" t="str">
        <x:v>GST / MSME</x:v>
      </x:c>
      <x:c r="G15" s="34" t="n">
        <x:v>148680</x:v>
      </x:c>
      <x:c r="H15" s="33" t="str">
        <x:v>Needs attention</x:v>
      </x:c>
      <x:c r="I15" s="33" t="str">
        <x:v>Enter payment date and bank reference; test 180-day ITC and 45-day MSME clocks.</x:v>
      </x:c>
      <x:c r="J15" s="33" t="str">
        <x:v>AP team</x:v>
      </x:c>
      <x:c r="K15" s="33" t="str">
        <x:v>Open</x:v>
      </x:c>
    </x:row>
    <x:row r="16">
      <x:c r="A16" s="33" t="str">
        <x:v>EX-015</x:v>
      </x:c>
      <x:c r="B16" s="33" t="str">
        <x:v>INV-004</x:v>
      </x:c>
      <x:c r="C16" s="33" t="str">
        <x:v>Swachh Facility Services</x:v>
      </x:c>
      <x:c r="D16" s="33" t="str">
        <x:v>SFS/26-27/041</x:v>
      </x:c>
      <x:c r="E16" s="33" t="str">
        <x:v>TDS deduction, deposit and return evidence missing (194C)</x:v>
      </x:c>
      <x:c r="F16" s="33" t="str">
        <x:v>TDS</x:v>
      </x:c>
      <x:c r="G16" s="34" t="n">
        <x:v>126000</x:v>
      </x:c>
      <x:c r="H16" s="33" t="str">
        <x:v>Needs attention</x:v>
      </x:c>
      <x:c r="I16" s="33" t="str">
        <x:v>Confirm payee constitution; individual/HUF rate may be 1%</x:v>
      </x:c>
      <x:c r="J16" s="33" t="str">
        <x:v>TDS team</x:v>
      </x:c>
      <x:c r="K16" s="33" t="str">
        <x:v>Open</x:v>
      </x:c>
    </x:row>
    <x:row r="17">
      <x:c r="A17" s="33" t="str">
        <x:v>EX-016</x:v>
      </x:c>
      <x:c r="B17" s="33" t="str">
        <x:v>INV-005</x:v>
      </x:c>
      <x:c r="C17" s="33" t="str">
        <x:v>Om Sai Enterprises (Prop. Rajesh Kumar)</x:v>
      </x:c>
      <x:c r="D17" s="33" t="str">
        <x:v>OSE/059</x:v>
      </x:c>
      <x:c r="E17" s="33" t="str">
        <x:v>GSTIN active-status evidence missing</x:v>
      </x:c>
      <x:c r="F17" s="33" t="str">
        <x:v>GST</x:v>
      </x:c>
      <x:c r="G17" s="34" t="n">
        <x:v>43660</x:v>
      </x:c>
      <x:c r="H17" s="33" t="str">
        <x:v>Needs attention</x:v>
      </x:c>
      <x:c r="I17" s="33" t="str">
        <x:v>Check GST portal registration status and effective date.</x:v>
      </x:c>
      <x:c r="J17" s="33" t="str">
        <x:v>Tax team</x:v>
      </x:c>
      <x:c r="K17" s="33" t="str">
        <x:v>Open</x:v>
      </x:c>
    </x:row>
    <x:row r="18">
      <x:c r="A18" s="33" t="str">
        <x:v>EX-017</x:v>
      </x:c>
      <x:c r="B18" s="33" t="str">
        <x:v>INV-005</x:v>
      </x:c>
      <x:c r="C18" s="33" t="str">
        <x:v>Om Sai Enterprises (Prop. Rajesh Kumar)</x:v>
      </x:c>
      <x:c r="D18" s="33" t="str">
        <x:v>OSE/059</x:v>
      </x:c>
      <x:c r="E18" s="33" t="str">
        <x:v>GSTR-2B reconciliation not evidenced</x:v>
      </x:c>
      <x:c r="F18" s="33" t="str">
        <x:v>GST</x:v>
      </x:c>
      <x:c r="G18" s="34" t="n">
        <x:v>6660</x:v>
      </x:c>
      <x:c r="H18" s="33" t="str">
        <x:v>Needs attention</x:v>
      </x:c>
      <x:c r="I18" s="33" t="str">
        <x:v>Reconcile invoice and ITC eligibility to GSTR-2B; retain export.</x:v>
      </x:c>
      <x:c r="J18" s="33" t="str">
        <x:v>GST team</x:v>
      </x:c>
      <x:c r="K18" s="33" t="str">
        <x:v>Open</x:v>
      </x:c>
    </x:row>
    <x:row r="19">
      <x:c r="A19" s="33" t="str">
        <x:v>EX-018</x:v>
      </x:c>
      <x:c r="B19" s="33" t="str">
        <x:v>INV-005</x:v>
      </x:c>
      <x:c r="C19" s="33" t="str">
        <x:v>Om Sai Enterprises (Prop. Rajesh Kumar)</x:v>
      </x:c>
      <x:c r="D19" s="33" t="str">
        <x:v>OSE/059</x:v>
      </x:c>
      <x:c r="E19" s="33" t="str">
        <x:v>Payment date / bank evidence missing</x:v>
      </x:c>
      <x:c r="F19" s="33" t="str">
        <x:v>GST / MSME</x:v>
      </x:c>
      <x:c r="G19" s="34" t="n">
        <x:v>43660</x:v>
      </x:c>
      <x:c r="H19" s="33" t="str">
        <x:v>Needs attention</x:v>
      </x:c>
      <x:c r="I19" s="33" t="str">
        <x:v>Enter payment date and bank reference; test 180-day ITC and 45-day MSME clocks.</x:v>
      </x:c>
      <x:c r="J19" s="33" t="str">
        <x:v>AP team</x:v>
      </x:c>
      <x:c r="K19" s="33" t="str">
        <x:v>Open</x:v>
      </x:c>
    </x:row>
    <x:row r="20">
      <x:c r="A20" s="33" t="str">
        <x:v>EX-019</x:v>
      </x:c>
      <x:c r="B20" s="33" t="str">
        <x:v>INV-005</x:v>
      </x:c>
      <x:c r="C20" s="33" t="str">
        <x:v>Om Sai Enterprises (Prop. Rajesh Kumar)</x:v>
      </x:c>
      <x:c r="D20" s="33" t="str">
        <x:v>OSE/059</x:v>
      </x:c>
      <x:c r="E20" s="33" t="str">
        <x:v>TDS deduction, deposit and return evidence missing (194C)</x:v>
      </x:c>
      <x:c r="F20" s="33" t="str">
        <x:v>TDS</x:v>
      </x:c>
      <x:c r="G20" s="34" t="n">
        <x:v>37000</x:v>
      </x:c>
      <x:c r="H20" s="33" t="str">
        <x:v>Needs attention</x:v>
      </x:c>
      <x:c r="I20" s="33" t="str">
        <x:v>Confirm payee constitution; individual/HUF rate may be 1%</x:v>
      </x:c>
      <x:c r="J20" s="33" t="str">
        <x:v>TDS team</x:v>
      </x:c>
      <x:c r="K20" s="33" t="str">
        <x:v>Open</x:v>
      </x:c>
    </x:row>
    <x:row r="21">
      <x:c r="A21" s="33" t="str">
        <x:v>EX-020</x:v>
      </x:c>
      <x:c r="B21" s="33" t="str">
        <x:v>INV-006</x:v>
      </x:c>
      <x:c r="C21" s="33" t="str">
        <x:v>Pressline Media Private Limited</x:v>
      </x:c>
      <x:c r="D21" s="33" t="str">
        <x:v>PML/DEL/2627/0412</x:v>
      </x:c>
      <x:c r="E21" s="33" t="str">
        <x:v>GSTIN active-status evidence missing</x:v>
      </x:c>
      <x:c r="F21" s="33" t="str">
        <x:v>GST</x:v>
      </x:c>
      <x:c r="G21" s="34" t="n">
        <x:v>252000</x:v>
      </x:c>
      <x:c r="H21" s="33" t="str">
        <x:v>Needs attention</x:v>
      </x:c>
      <x:c r="I21" s="33" t="str">
        <x:v>Check GST portal registration status and effective date.</x:v>
      </x:c>
      <x:c r="J21" s="33" t="str">
        <x:v>Tax team</x:v>
      </x:c>
      <x:c r="K21" s="33" t="str">
        <x:v>Open</x:v>
      </x:c>
    </x:row>
    <x:row r="22">
      <x:c r="A22" s="33" t="str">
        <x:v>EX-021</x:v>
      </x:c>
      <x:c r="B22" s="33" t="str">
        <x:v>INV-006</x:v>
      </x:c>
      <x:c r="C22" s="33" t="str">
        <x:v>Pressline Media Private Limited</x:v>
      </x:c>
      <x:c r="D22" s="33" t="str">
        <x:v>PML/DEL/2627/0412</x:v>
      </x:c>
      <x:c r="E22" s="33" t="str">
        <x:v>GSTR-2B reconciliation not evidenced</x:v>
      </x:c>
      <x:c r="F22" s="33" t="str">
        <x:v>GST</x:v>
      </x:c>
      <x:c r="G22" s="34" t="n">
        <x:v>12000</x:v>
      </x:c>
      <x:c r="H22" s="33" t="str">
        <x:v>Needs attention</x:v>
      </x:c>
      <x:c r="I22" s="33" t="str">
        <x:v>Reconcile invoice and ITC eligibility to GSTR-2B; retain export.</x:v>
      </x:c>
      <x:c r="J22" s="33" t="str">
        <x:v>GST team</x:v>
      </x:c>
      <x:c r="K22" s="33" t="str">
        <x:v>Open</x:v>
      </x:c>
    </x:row>
    <x:row r="23">
      <x:c r="A23" s="33" t="str">
        <x:v>EX-022</x:v>
      </x:c>
      <x:c r="B23" s="33" t="str">
        <x:v>INV-006</x:v>
      </x:c>
      <x:c r="C23" s="33" t="str">
        <x:v>Pressline Media Private Limited</x:v>
      </x:c>
      <x:c r="D23" s="33" t="str">
        <x:v>PML/DEL/2627/0412</x:v>
      </x:c>
      <x:c r="E23" s="33" t="str">
        <x:v>Payment date / bank evidence missing</x:v>
      </x:c>
      <x:c r="F23" s="33" t="str">
        <x:v>GST / MSME</x:v>
      </x:c>
      <x:c r="G23" s="34" t="n">
        <x:v>252000</x:v>
      </x:c>
      <x:c r="H23" s="33" t="str">
        <x:v>Needs attention</x:v>
      </x:c>
      <x:c r="I23" s="33" t="str">
        <x:v>Enter payment date and bank reference; test 180-day ITC and 45-day MSME clocks.</x:v>
      </x:c>
      <x:c r="J23" s="33" t="str">
        <x:v>AP team</x:v>
      </x:c>
      <x:c r="K23" s="33" t="str">
        <x:v>Open</x:v>
      </x:c>
    </x:row>
    <x:row r="24">
      <x:c r="A24" s="33" t="str">
        <x:v>EX-023</x:v>
      </x:c>
      <x:c r="B24" s="33" t="str">
        <x:v>INV-006</x:v>
      </x:c>
      <x:c r="C24" s="33" t="str">
        <x:v>Pressline Media Private Limited</x:v>
      </x:c>
      <x:c r="D24" s="33" t="str">
        <x:v>PML/DEL/2627/0412</x:v>
      </x:c>
      <x:c r="E24" s="33" t="str">
        <x:v>TDS deduction, deposit and return evidence missing (194C)</x:v>
      </x:c>
      <x:c r="F24" s="33" t="str">
        <x:v>TDS</x:v>
      </x:c>
      <x:c r="G24" s="34" t="n">
        <x:v>240000</x:v>
      </x:c>
      <x:c r="H24" s="33" t="str">
        <x:v>Needs attention</x:v>
      </x:c>
      <x:c r="I24" s="33" t="str">
        <x:v>Confirm payee constitution; individual/HUF rate may be 1%</x:v>
      </x:c>
      <x:c r="J24" s="33" t="str">
        <x:v>TDS team</x:v>
      </x:c>
      <x:c r="K24" s="33" t="str">
        <x:v>Open</x:v>
      </x:c>
    </x:row>
    <x:row r="25">
      <x:c r="A25" s="33" t="str">
        <x:v>EX-024</x:v>
      </x:c>
      <x:c r="B25" s="33" t="str">
        <x:v>INV-007</x:v>
      </x:c>
      <x:c r="C25" s="33" t="str">
        <x:v>Suresh Chand Gupta</x:v>
      </x:c>
      <x:c r="D25" s="33" t="str">
        <x:v>SCG/R/2026-10</x:v>
      </x:c>
      <x:c r="E25" s="33" t="str">
        <x:v>GSTIN active-status evidence missing</x:v>
      </x:c>
      <x:c r="F25" s="33" t="str">
        <x:v>GST</x:v>
      </x:c>
      <x:c r="G25" s="34" t="n">
        <x:v>212400</x:v>
      </x:c>
      <x:c r="H25" s="33" t="str">
        <x:v>Needs attention</x:v>
      </x:c>
      <x:c r="I25" s="33" t="str">
        <x:v>Check GST portal registration status and effective date.</x:v>
      </x:c>
      <x:c r="J25" s="33" t="str">
        <x:v>Tax team</x:v>
      </x:c>
      <x:c r="K25" s="33" t="str">
        <x:v>Open</x:v>
      </x:c>
    </x:row>
    <x:row r="26">
      <x:c r="A26" s="33" t="str">
        <x:v>EX-025</x:v>
      </x:c>
      <x:c r="B26" s="33" t="str">
        <x:v>INV-007</x:v>
      </x:c>
      <x:c r="C26" s="33" t="str">
        <x:v>Suresh Chand Gupta</x:v>
      </x:c>
      <x:c r="D26" s="33" t="str">
        <x:v>SCG/R/2026-10</x:v>
      </x:c>
      <x:c r="E26" s="33" t="str">
        <x:v>GSTR-2B reconciliation not evidenced</x:v>
      </x:c>
      <x:c r="F26" s="33" t="str">
        <x:v>GST</x:v>
      </x:c>
      <x:c r="G26" s="34" t="n">
        <x:v>32400</x:v>
      </x:c>
      <x:c r="H26" s="33" t="str">
        <x:v>Needs attention</x:v>
      </x:c>
      <x:c r="I26" s="33" t="str">
        <x:v>Reconcile invoice and ITC eligibility to GSTR-2B; retain export.</x:v>
      </x:c>
      <x:c r="J26" s="33" t="str">
        <x:v>GST team</x:v>
      </x:c>
      <x:c r="K26" s="33" t="str">
        <x:v>Open</x:v>
      </x:c>
    </x:row>
    <x:row r="27">
      <x:c r="A27" s="33" t="str">
        <x:v>EX-026</x:v>
      </x:c>
      <x:c r="B27" s="33" t="str">
        <x:v>INV-007</x:v>
      </x:c>
      <x:c r="C27" s="33" t="str">
        <x:v>Suresh Chand Gupta</x:v>
      </x:c>
      <x:c r="D27" s="33" t="str">
        <x:v>SCG/R/2026-10</x:v>
      </x:c>
      <x:c r="E27" s="33" t="str">
        <x:v>Payment date / bank evidence missing</x:v>
      </x:c>
      <x:c r="F27" s="33" t="str">
        <x:v>GST / MSME</x:v>
      </x:c>
      <x:c r="G27" s="34" t="n">
        <x:v>212400</x:v>
      </x:c>
      <x:c r="H27" s="33" t="str">
        <x:v>Needs attention</x:v>
      </x:c>
      <x:c r="I27" s="33" t="str">
        <x:v>Enter payment date and bank reference; test 180-day ITC and 45-day MSME clocks.</x:v>
      </x:c>
      <x:c r="J27" s="33" t="str">
        <x:v>AP team</x:v>
      </x:c>
      <x:c r="K27" s="33" t="str">
        <x:v>Open</x:v>
      </x:c>
    </x:row>
    <x:row r="28">
      <x:c r="A28" s="33" t="str">
        <x:v>EX-027</x:v>
      </x:c>
      <x:c r="B28" s="33" t="str">
        <x:v>INV-007</x:v>
      </x:c>
      <x:c r="C28" s="33" t="str">
        <x:v>Suresh Chand Gupta</x:v>
      </x:c>
      <x:c r="D28" s="33" t="str">
        <x:v>SCG/R/2026-10</x:v>
      </x:c>
      <x:c r="E28" s="33" t="str">
        <x:v>TDS deduction, deposit and return evidence missing (194I)</x:v>
      </x:c>
      <x:c r="F28" s="33" t="str">
        <x:v>TDS</x:v>
      </x:c>
      <x:c r="G28" s="34" t="n">
        <x:v>180000</x:v>
      </x:c>
      <x:c r="H28" s="33" t="str">
        <x:v>Needs attention</x:v>
      </x:c>
      <x:c r="I28" s="33" t="str">
        <x:v>Confirm asset type and annual threshold</x:v>
      </x:c>
      <x:c r="J28" s="33" t="str">
        <x:v>TDS team</x:v>
      </x:c>
      <x:c r="K28" s="33" t="str">
        <x:v>Open</x:v>
      </x:c>
    </x:row>
    <x:row r="29">
      <x:c r="A29" s="33" t="str">
        <x:v>EX-028</x:v>
      </x:c>
      <x:c r="B29" s="33" t="str">
        <x:v>INV-008</x:v>
      </x:c>
      <x:c r="C29" s="33" t="str">
        <x:v>Comfort Rentals LLP</x:v>
      </x:c>
      <x:c r="D29" s="33" t="str">
        <x:v>CR-LLP/HR/0277</x:v>
      </x:c>
      <x:c r="E29" s="33" t="str">
        <x:v>GSTIN active-status evidence missing</x:v>
      </x:c>
      <x:c r="F29" s="33" t="str">
        <x:v>GST</x:v>
      </x:c>
      <x:c r="G29" s="34" t="n">
        <x:v>76700</x:v>
      </x:c>
      <x:c r="H29" s="33" t="str">
        <x:v>Needs attention</x:v>
      </x:c>
      <x:c r="I29" s="33" t="str">
        <x:v>Check GST portal registration status and effective date.</x:v>
      </x:c>
      <x:c r="J29" s="33" t="str">
        <x:v>Tax team</x:v>
      </x:c>
      <x:c r="K29" s="33" t="str">
        <x:v>Open</x:v>
      </x:c>
    </x:row>
    <x:row r="30">
      <x:c r="A30" s="33" t="str">
        <x:v>EX-029</x:v>
      </x:c>
      <x:c r="B30" s="33" t="str">
        <x:v>INV-008</x:v>
      </x:c>
      <x:c r="C30" s="33" t="str">
        <x:v>Comfort Rentals LLP</x:v>
      </x:c>
      <x:c r="D30" s="33" t="str">
        <x:v>CR-LLP/HR/0277</x:v>
      </x:c>
      <x:c r="E30" s="33" t="str">
        <x:v>GSTR-2B reconciliation not evidenced</x:v>
      </x:c>
      <x:c r="F30" s="33" t="str">
        <x:v>GST</x:v>
      </x:c>
      <x:c r="G30" s="34" t="n">
        <x:v>11700</x:v>
      </x:c>
      <x:c r="H30" s="33" t="str">
        <x:v>Needs attention</x:v>
      </x:c>
      <x:c r="I30" s="33" t="str">
        <x:v>Reconcile invoice and ITC eligibility to GSTR-2B; retain export.</x:v>
      </x:c>
      <x:c r="J30" s="33" t="str">
        <x:v>GST team</x:v>
      </x:c>
      <x:c r="K30" s="33" t="str">
        <x:v>Open</x:v>
      </x:c>
    </x:row>
    <x:row r="31">
      <x:c r="A31" s="33" t="str">
        <x:v>EX-030</x:v>
      </x:c>
      <x:c r="B31" s="33" t="str">
        <x:v>INV-008</x:v>
      </x:c>
      <x:c r="C31" s="33" t="str">
        <x:v>Comfort Rentals LLP</x:v>
      </x:c>
      <x:c r="D31" s="33" t="str">
        <x:v>CR-LLP/HR/0277</x:v>
      </x:c>
      <x:c r="E31" s="33" t="str">
        <x:v>Payment date / bank evidence missing</x:v>
      </x:c>
      <x:c r="F31" s="33" t="str">
        <x:v>GST / MSME</x:v>
      </x:c>
      <x:c r="G31" s="34" t="n">
        <x:v>76700</x:v>
      </x:c>
      <x:c r="H31" s="33" t="str">
        <x:v>Needs attention</x:v>
      </x:c>
      <x:c r="I31" s="33" t="str">
        <x:v>Enter payment date and bank reference; test 180-day ITC and 45-day MSME clocks.</x:v>
      </x:c>
      <x:c r="J31" s="33" t="str">
        <x:v>AP team</x:v>
      </x:c>
      <x:c r="K31" s="33" t="str">
        <x:v>Open</x:v>
      </x:c>
    </x:row>
    <x:row r="32">
      <x:c r="A32" s="33" t="str">
        <x:v>EX-031</x:v>
      </x:c>
      <x:c r="B32" s="33" t="str">
        <x:v>INV-008</x:v>
      </x:c>
      <x:c r="C32" s="33" t="str">
        <x:v>Comfort Rentals LLP</x:v>
      </x:c>
      <x:c r="D32" s="33" t="str">
        <x:v>CR-LLP/HR/0277</x:v>
      </x:c>
      <x:c r="E32" s="33" t="str">
        <x:v>TDS deduction, deposit and return evidence missing (194I)</x:v>
      </x:c>
      <x:c r="F32" s="33" t="str">
        <x:v>TDS</x:v>
      </x:c>
      <x:c r="G32" s="34" t="n">
        <x:v>65000</x:v>
      </x:c>
      <x:c r="H32" s="33" t="str">
        <x:v>Needs attention</x:v>
      </x:c>
      <x:c r="I32" s="33" t="str">
        <x:v>Confirm asset type and annual threshold</x:v>
      </x:c>
      <x:c r="J32" s="33" t="str">
        <x:v>TDS team</x:v>
      </x:c>
      <x:c r="K32" s="33" t="str">
        <x:v>Open</x:v>
      </x:c>
    </x:row>
    <x:row r="33">
      <x:c r="A33" s="33" t="str">
        <x:v>EX-032</x:v>
      </x:c>
      <x:c r="B33" s="33" t="str">
        <x:v>INV-009</x:v>
      </x:c>
      <x:c r="C33" s="33" t="str">
        <x:v>PowerGen Hire Services (Prop. Manoj Yadav)</x:v>
      </x:c>
      <x:c r="D33" s="33" t="str">
        <x:v>PGH/UP/221</x:v>
      </x:c>
      <x:c r="E33" s="33" t="str">
        <x:v>GSTIN active-status evidence missing</x:v>
      </x:c>
      <x:c r="F33" s="33" t="str">
        <x:v>GST</x:v>
      </x:c>
      <x:c r="G33" s="34" t="n">
        <x:v>84960</x:v>
      </x:c>
      <x:c r="H33" s="33" t="str">
        <x:v>Needs attention</x:v>
      </x:c>
      <x:c r="I33" s="33" t="str">
        <x:v>Check GST portal registration status and effective date.</x:v>
      </x:c>
      <x:c r="J33" s="33" t="str">
        <x:v>Tax team</x:v>
      </x:c>
      <x:c r="K33" s="33" t="str">
        <x:v>Open</x:v>
      </x:c>
    </x:row>
    <x:row r="34">
      <x:c r="A34" s="33" t="str">
        <x:v>EX-033</x:v>
      </x:c>
      <x:c r="B34" s="33" t="str">
        <x:v>INV-009</x:v>
      </x:c>
      <x:c r="C34" s="33" t="str">
        <x:v>PowerGen Hire Services (Prop. Manoj Yadav)</x:v>
      </x:c>
      <x:c r="D34" s="33" t="str">
        <x:v>PGH/UP/221</x:v>
      </x:c>
      <x:c r="E34" s="33" t="str">
        <x:v>GSTR-2B reconciliation not evidenced</x:v>
      </x:c>
      <x:c r="F34" s="33" t="str">
        <x:v>GST</x:v>
      </x:c>
      <x:c r="G34" s="34" t="n">
        <x:v>12960</x:v>
      </x:c>
      <x:c r="H34" s="33" t="str">
        <x:v>Needs attention</x:v>
      </x:c>
      <x:c r="I34" s="33" t="str">
        <x:v>Reconcile invoice and ITC eligibility to GSTR-2B; retain export.</x:v>
      </x:c>
      <x:c r="J34" s="33" t="str">
        <x:v>GST team</x:v>
      </x:c>
      <x:c r="K34" s="33" t="str">
        <x:v>Open</x:v>
      </x:c>
    </x:row>
    <x:row r="35">
      <x:c r="A35" s="33" t="str">
        <x:v>EX-034</x:v>
      </x:c>
      <x:c r="B35" s="33" t="str">
        <x:v>INV-009</x:v>
      </x:c>
      <x:c r="C35" s="33" t="str">
        <x:v>PowerGen Hire Services (Prop. Manoj Yadav)</x:v>
      </x:c>
      <x:c r="D35" s="33" t="str">
        <x:v>PGH/UP/221</x:v>
      </x:c>
      <x:c r="E35" s="33" t="str">
        <x:v>Payment date / bank evidence missing</x:v>
      </x:c>
      <x:c r="F35" s="33" t="str">
        <x:v>GST / MSME</x:v>
      </x:c>
      <x:c r="G35" s="34" t="n">
        <x:v>84960</x:v>
      </x:c>
      <x:c r="H35" s="33" t="str">
        <x:v>Needs attention</x:v>
      </x:c>
      <x:c r="I35" s="33" t="str">
        <x:v>Enter payment date and bank reference; test 180-day ITC and 45-day MSME clocks.</x:v>
      </x:c>
      <x:c r="J35" s="33" t="str">
        <x:v>AP team</x:v>
      </x:c>
      <x:c r="K35" s="33" t="str">
        <x:v>Open</x:v>
      </x:c>
    </x:row>
    <x:row r="36">
      <x:c r="A36" s="33" t="str">
        <x:v>EX-035</x:v>
      </x:c>
      <x:c r="B36" s="33" t="str">
        <x:v>INV-009</x:v>
      </x:c>
      <x:c r="C36" s="33" t="str">
        <x:v>PowerGen Hire Services (Prop. Manoj Yadav)</x:v>
      </x:c>
      <x:c r="D36" s="33" t="str">
        <x:v>PGH/UP/221</x:v>
      </x:c>
      <x:c r="E36" s="33" t="str">
        <x:v>TDS deduction, deposit and return evidence missing (194C)</x:v>
      </x:c>
      <x:c r="F36" s="33" t="str">
        <x:v>TDS</x:v>
      </x:c>
      <x:c r="G36" s="34" t="n">
        <x:v>72000</x:v>
      </x:c>
      <x:c r="H36" s="33" t="str">
        <x:v>Needs attention</x:v>
      </x:c>
      <x:c r="I36" s="33" t="str">
        <x:v>Confirm payee constitution; individual/HUF rate may be 1%</x:v>
      </x:c>
      <x:c r="J36" s="33" t="str">
        <x:v>TDS team</x:v>
      </x:c>
      <x:c r="K36" s="33" t="str">
        <x:v>Open</x:v>
      </x:c>
    </x:row>
    <x:row r="37">
      <x:c r="A37" s="33" t="str">
        <x:v>EX-036</x:v>
      </x:c>
      <x:c r="B37" s="33" t="str">
        <x:v>INV-010</x:v>
      </x:c>
      <x:c r="C37" s="33" t="str">
        <x:v>Kapoor Properties (HUF)</x:v>
      </x:c>
      <x:c r="D37" s="33" t="str">
        <x:v>KP/2026/10</x:v>
      </x:c>
      <x:c r="E37" s="33" t="str">
        <x:v>GSTIN active-status evidence missing</x:v>
      </x:c>
      <x:c r="F37" s="33" t="str">
        <x:v>GST</x:v>
      </x:c>
      <x:c r="G37" s="34" t="n">
        <x:v>49560</x:v>
      </x:c>
      <x:c r="H37" s="33" t="str">
        <x:v>Needs attention</x:v>
      </x:c>
      <x:c r="I37" s="33" t="str">
        <x:v>Check GST portal registration status and effective date.</x:v>
      </x:c>
      <x:c r="J37" s="33" t="str">
        <x:v>Tax team</x:v>
      </x:c>
      <x:c r="K37" s="33" t="str">
        <x:v>Open</x:v>
      </x:c>
    </x:row>
    <x:row r="38">
      <x:c r="A38" s="33" t="str">
        <x:v>EX-037</x:v>
      </x:c>
      <x:c r="B38" s="33" t="str">
        <x:v>INV-010</x:v>
      </x:c>
      <x:c r="C38" s="33" t="str">
        <x:v>Kapoor Properties (HUF)</x:v>
      </x:c>
      <x:c r="D38" s="33" t="str">
        <x:v>KP/2026/10</x:v>
      </x:c>
      <x:c r="E38" s="33" t="str">
        <x:v>GSTR-2B reconciliation not evidenced</x:v>
      </x:c>
      <x:c r="F38" s="33" t="str">
        <x:v>GST</x:v>
      </x:c>
      <x:c r="G38" s="34" t="n">
        <x:v>7560</x:v>
      </x:c>
      <x:c r="H38" s="33" t="str">
        <x:v>Needs attention</x:v>
      </x:c>
      <x:c r="I38" s="33" t="str">
        <x:v>Reconcile invoice and ITC eligibility to GSTR-2B; retain export.</x:v>
      </x:c>
      <x:c r="J38" s="33" t="str">
        <x:v>GST team</x:v>
      </x:c>
      <x:c r="K38" s="33" t="str">
        <x:v>Open</x:v>
      </x:c>
    </x:row>
    <x:row r="39">
      <x:c r="A39" s="33" t="str">
        <x:v>EX-038</x:v>
      </x:c>
      <x:c r="B39" s="33" t="str">
        <x:v>INV-010</x:v>
      </x:c>
      <x:c r="C39" s="33" t="str">
        <x:v>Kapoor Properties (HUF)</x:v>
      </x:c>
      <x:c r="D39" s="33" t="str">
        <x:v>KP/2026/10</x:v>
      </x:c>
      <x:c r="E39" s="33" t="str">
        <x:v>Payment date / bank evidence missing</x:v>
      </x:c>
      <x:c r="F39" s="33" t="str">
        <x:v>GST / MSME</x:v>
      </x:c>
      <x:c r="G39" s="34" t="n">
        <x:v>49560</x:v>
      </x:c>
      <x:c r="H39" s="33" t="str">
        <x:v>Needs attention</x:v>
      </x:c>
      <x:c r="I39" s="33" t="str">
        <x:v>Enter payment date and bank reference; test 180-day ITC and 45-day MSME clocks.</x:v>
      </x:c>
      <x:c r="J39" s="33" t="str">
        <x:v>AP team</x:v>
      </x:c>
      <x:c r="K39" s="33" t="str">
        <x:v>Open</x:v>
      </x:c>
    </x:row>
    <x:row r="40">
      <x:c r="A40" s="33" t="str">
        <x:v>EX-039</x:v>
      </x:c>
      <x:c r="B40" s="33" t="str">
        <x:v>INV-010</x:v>
      </x:c>
      <x:c r="C40" s="33" t="str">
        <x:v>Kapoor Properties (HUF)</x:v>
      </x:c>
      <x:c r="D40" s="33" t="str">
        <x:v>KP/2026/10</x:v>
      </x:c>
      <x:c r="E40" s="33" t="str">
        <x:v>TDS deduction, deposit and return evidence missing (194I)</x:v>
      </x:c>
      <x:c r="F40" s="33" t="str">
        <x:v>TDS</x:v>
      </x:c>
      <x:c r="G40" s="34" t="n">
        <x:v>42000</x:v>
      </x:c>
      <x:c r="H40" s="33" t="str">
        <x:v>Needs attention</x:v>
      </x:c>
      <x:c r="I40" s="33" t="str">
        <x:v>Confirm asset type and annual threshold</x:v>
      </x:c>
      <x:c r="J40" s="33" t="str">
        <x:v>TDS team</x:v>
      </x:c>
      <x:c r="K40" s="33" t="str">
        <x:v>Open</x:v>
      </x:c>
    </x:row>
    <x:row r="41">
      <x:c r="A41" s="33" t="str">
        <x:v>EX-040</x:v>
      </x:c>
      <x:c r="B41" s="33" t="str">
        <x:v>INV-011</x:v>
      </x:c>
      <x:c r="C41" s="33" t="str">
        <x:v>RouteOne Cabs Private Limited</x:v>
      </x:c>
      <x:c r="D41" s="33" t="str">
        <x:v>R1C/DEL/2627/0588</x:v>
      </x:c>
      <x:c r="E41" s="33" t="str">
        <x:v>GSTIN active-status evidence missing</x:v>
      </x:c>
      <x:c r="F41" s="33" t="str">
        <x:v>GST</x:v>
      </x:c>
      <x:c r="G41" s="34" t="n">
        <x:v>152250</x:v>
      </x:c>
      <x:c r="H41" s="33" t="str">
        <x:v>Needs attention</x:v>
      </x:c>
      <x:c r="I41" s="33" t="str">
        <x:v>Check GST portal registration status and effective date.</x:v>
      </x:c>
      <x:c r="J41" s="33" t="str">
        <x:v>Tax team</x:v>
      </x:c>
      <x:c r="K41" s="33" t="str">
        <x:v>Open</x:v>
      </x:c>
    </x:row>
    <x:row r="42">
      <x:c r="A42" s="33" t="str">
        <x:v>EX-041</x:v>
      </x:c>
      <x:c r="B42" s="33" t="str">
        <x:v>INV-011</x:v>
      </x:c>
      <x:c r="C42" s="33" t="str">
        <x:v>RouteOne Cabs Private Limited</x:v>
      </x:c>
      <x:c r="D42" s="33" t="str">
        <x:v>R1C/DEL/2627/0588</x:v>
      </x:c>
      <x:c r="E42" s="33" t="str">
        <x:v>GSTR-2B reconciliation not evidenced</x:v>
      </x:c>
      <x:c r="F42" s="33" t="str">
        <x:v>GST</x:v>
      </x:c>
      <x:c r="G42" s="34" t="n">
        <x:v>7250</x:v>
      </x:c>
      <x:c r="H42" s="33" t="str">
        <x:v>Needs attention</x:v>
      </x:c>
      <x:c r="I42" s="33" t="str">
        <x:v>Reconcile invoice and ITC eligibility to GSTR-2B; retain export.</x:v>
      </x:c>
      <x:c r="J42" s="33" t="str">
        <x:v>GST team</x:v>
      </x:c>
      <x:c r="K42" s="33" t="str">
        <x:v>Open</x:v>
      </x:c>
    </x:row>
    <x:row r="43">
      <x:c r="A43" s="33" t="str">
        <x:v>EX-042</x:v>
      </x:c>
      <x:c r="B43" s="33" t="str">
        <x:v>INV-011</x:v>
      </x:c>
      <x:c r="C43" s="33" t="str">
        <x:v>RouteOne Cabs Private Limited</x:v>
      </x:c>
      <x:c r="D43" s="33" t="str">
        <x:v>R1C/DEL/2627/0588</x:v>
      </x:c>
      <x:c r="E43" s="33" t="str">
        <x:v>Payment date / bank evidence missing</x:v>
      </x:c>
      <x:c r="F43" s="33" t="str">
        <x:v>GST / MSME</x:v>
      </x:c>
      <x:c r="G43" s="34" t="n">
        <x:v>152250</x:v>
      </x:c>
      <x:c r="H43" s="33" t="str">
        <x:v>Needs attention</x:v>
      </x:c>
      <x:c r="I43" s="33" t="str">
        <x:v>Enter payment date and bank reference; test 180-day ITC and 45-day MSME clocks.</x:v>
      </x:c>
      <x:c r="J43" s="33" t="str">
        <x:v>AP team</x:v>
      </x:c>
      <x:c r="K43" s="33" t="str">
        <x:v>Open</x:v>
      </x:c>
    </x:row>
    <x:row r="44">
      <x:c r="A44" s="33" t="str">
        <x:v>EX-043</x:v>
      </x:c>
      <x:c r="B44" s="33" t="str">
        <x:v>INV-011</x:v>
      </x:c>
      <x:c r="C44" s="33" t="str">
        <x:v>RouteOne Cabs Private Limited</x:v>
      </x:c>
      <x:c r="D44" s="33" t="str">
        <x:v>R1C/DEL/2627/0588</x:v>
      </x:c>
      <x:c r="E44" s="33" t="str">
        <x:v>TDS deduction, deposit and return evidence missing (194C)</x:v>
      </x:c>
      <x:c r="F44" s="33" t="str">
        <x:v>TDS</x:v>
      </x:c>
      <x:c r="G44" s="34" t="n">
        <x:v>145000</x:v>
      </x:c>
      <x:c r="H44" s="33" t="str">
        <x:v>Needs attention</x:v>
      </x:c>
      <x:c r="I44" s="33" t="str">
        <x:v>Confirm payee constitution; individual/HUF rate may be 1%</x:v>
      </x:c>
      <x:c r="J44" s="33" t="str">
        <x:v>TDS team</x:v>
      </x:c>
      <x:c r="K44" s="33" t="str">
        <x:v>Open</x:v>
      </x:c>
    </x:row>
    <x:row r="45">
      <x:c r="A45" s="33" t="str">
        <x:v>EX-044</x:v>
      </x:c>
      <x:c r="B45" s="33" t="str">
        <x:v>INV-012</x:v>
      </x:c>
      <x:c r="C45" s="33" t="str">
        <x:v>Balaji Roadlines (Prop. Ramesh Chand)</x:v>
      </x:c>
      <x:c r="D45" s="33" t="str">
        <x:v>BRL/GGN/0162</x:v>
      </x:c>
      <x:c r="E45" s="33" t="str">
        <x:v>GSTIN active-status evidence missing</x:v>
      </x:c>
      <x:c r="F45" s="33" t="str">
        <x:v>GST</x:v>
      </x:c>
      <x:c r="G45" s="34" t="n">
        <x:v>68000</x:v>
      </x:c>
      <x:c r="H45" s="33" t="str">
        <x:v>Needs attention</x:v>
      </x:c>
      <x:c r="I45" s="33" t="str">
        <x:v>Check GST portal registration status and effective date.</x:v>
      </x:c>
      <x:c r="J45" s="33" t="str">
        <x:v>Tax team</x:v>
      </x:c>
      <x:c r="K45" s="33" t="str">
        <x:v>Open</x:v>
      </x:c>
    </x:row>
    <x:row r="46">
      <x:c r="A46" s="33" t="str">
        <x:v>EX-045</x:v>
      </x:c>
      <x:c r="B46" s="33" t="str">
        <x:v>INV-012</x:v>
      </x:c>
      <x:c r="C46" s="33" t="str">
        <x:v>Balaji Roadlines (Prop. Ramesh Chand)</x:v>
      </x:c>
      <x:c r="D46" s="33" t="str">
        <x:v>BRL/GGN/0162</x:v>
      </x:c>
      <x:c r="E46" s="33" t="str">
        <x:v>GSTR-2B reconciliation not evidenced</x:v>
      </x:c>
      <x:c r="F46" s="33" t="str">
        <x:v>GST</x:v>
      </x:c>
      <x:c r="G46" s="34" t="n">
        <x:v>0</x:v>
      </x:c>
      <x:c r="H46" s="33" t="str">
        <x:v>Needs attention</x:v>
      </x:c>
      <x:c r="I46" s="33" t="str">
        <x:v>Reconcile invoice and ITC eligibility to GSTR-2B; retain export.</x:v>
      </x:c>
      <x:c r="J46" s="33" t="str">
        <x:v>GST team</x:v>
      </x:c>
      <x:c r="K46" s="33" t="str">
        <x:v>Open</x:v>
      </x:c>
    </x:row>
    <x:row r="47">
      <x:c r="A47" s="33" t="str">
        <x:v>EX-046</x:v>
      </x:c>
      <x:c r="B47" s="33" t="str">
        <x:v>INV-012</x:v>
      </x:c>
      <x:c r="C47" s="33" t="str">
        <x:v>Balaji Roadlines (Prop. Ramesh Chand)</x:v>
      </x:c>
      <x:c r="D47" s="33" t="str">
        <x:v>BRL/GGN/0162</x:v>
      </x:c>
      <x:c r="E47" s="33" t="str">
        <x:v>Payment date / bank evidence missing</x:v>
      </x:c>
      <x:c r="F47" s="33" t="str">
        <x:v>GST / MSME</x:v>
      </x:c>
      <x:c r="G47" s="34" t="n">
        <x:v>68000</x:v>
      </x:c>
      <x:c r="H47" s="33" t="str">
        <x:v>Needs attention</x:v>
      </x:c>
      <x:c r="I47" s="33" t="str">
        <x:v>Enter payment date and bank reference; test 180-day ITC and 45-day MSME clocks.</x:v>
      </x:c>
      <x:c r="J47" s="33" t="str">
        <x:v>AP team</x:v>
      </x:c>
      <x:c r="K47" s="33" t="str">
        <x:v>Open</x:v>
      </x:c>
    </x:row>
    <x:row r="48">
      <x:c r="A48" s="33" t="str">
        <x:v>EX-047</x:v>
      </x:c>
      <x:c r="B48" s="33" t="str">
        <x:v>INV-012</x:v>
      </x:c>
      <x:c r="C48" s="33" t="str">
        <x:v>Balaji Roadlines (Prop. Ramesh Chand)</x:v>
      </x:c>
      <x:c r="D48" s="33" t="str">
        <x:v>BRL/GGN/0162</x:v>
      </x:c>
      <x:c r="E48" s="33" t="str">
        <x:v>TDS deduction, deposit and return evidence missing (194C)</x:v>
      </x:c>
      <x:c r="F48" s="33" t="str">
        <x:v>TDS</x:v>
      </x:c>
      <x:c r="G48" s="34" t="n">
        <x:v>68000</x:v>
      </x:c>
      <x:c r="H48" s="33" t="str">
        <x:v>Needs attention</x:v>
      </x:c>
      <x:c r="I48" s="33" t="str">
        <x:v>Confirm payee constitution; individual/HUF rate may be 1%</x:v>
      </x:c>
      <x:c r="J48" s="33" t="str">
        <x:v>TDS team</x:v>
      </x:c>
      <x:c r="K48" s="33" t="str">
        <x:v>Open</x:v>
      </x:c>
    </x:row>
    <x:row r="49">
      <x:c r="A49" s="33" t="str">
        <x:v>EX-048</x:v>
      </x:c>
      <x:c r="B49" s="33" t="str">
        <x:v>INV-012</x:v>
      </x:c>
      <x:c r="C49" s="33" t="str">
        <x:v>Balaji Roadlines (Prop. Ramesh Chand)</x:v>
      </x:c>
      <x:c r="D49" s="33" t="str">
        <x:v>BRL/GGN/0162</x:v>
      </x:c>
      <x:c r="E49" s="33" t="str">
        <x:v>RCM tax payment / ITC evidence missing</x:v>
      </x:c>
      <x:c r="F49" s="33" t="str">
        <x:v>GST</x:v>
      </x:c>
      <x:c r="G49" s="34" t="n">
        <x:v>12240</x:v>
      </x:c>
      <x:c r="H49" s="33" t="str">
        <x:v>High risk</x:v>
      </x:c>
      <x:c r="I49" s="33" t="str">
        <x:v>Pay RCM GST in cash, retain payment evidence and verify ITC claim.</x:v>
      </x:c>
      <x:c r="J49" s="33" t="str">
        <x:v>GST team</x:v>
      </x:c>
      <x:c r="K49" s="33" t="str">
        <x:v>Open</x:v>
      </x:c>
    </x:row>
    <x:row r="50">
      <x:c r="A50" s="33" t="str">
        <x:v>EX-049</x:v>
      </x:c>
      <x:c r="B50" s="33" t="str">
        <x:v>INV-013</x:v>
      </x:c>
      <x:c r="C50" s="33" t="str">
        <x:v>Shree Cargo Movers Private Limited</x:v>
      </x:c>
      <x:c r="D50" s="33" t="str">
        <x:v>SCM/MH/26/1907</x:v>
      </x:c>
      <x:c r="E50" s="33" t="str">
        <x:v>GSTIN active-status evidence missing</x:v>
      </x:c>
      <x:c r="F50" s="33" t="str">
        <x:v>GST</x:v>
      </x:c>
      <x:c r="G50" s="34" t="n">
        <x:v>135700</x:v>
      </x:c>
      <x:c r="H50" s="33" t="str">
        <x:v>Needs attention</x:v>
      </x:c>
      <x:c r="I50" s="33" t="str">
        <x:v>Check GST portal registration status and effective date.</x:v>
      </x:c>
      <x:c r="J50" s="33" t="str">
        <x:v>Tax team</x:v>
      </x:c>
      <x:c r="K50" s="33" t="str">
        <x:v>Open</x:v>
      </x:c>
    </x:row>
    <x:row r="51">
      <x:c r="A51" s="33" t="str">
        <x:v>EX-050</x:v>
      </x:c>
      <x:c r="B51" s="33" t="str">
        <x:v>INV-013</x:v>
      </x:c>
      <x:c r="C51" s="33" t="str">
        <x:v>Shree Cargo Movers Private Limited</x:v>
      </x:c>
      <x:c r="D51" s="33" t="str">
        <x:v>SCM/MH/26/1907</x:v>
      </x:c>
      <x:c r="E51" s="33" t="str">
        <x:v>GSTR-2B reconciliation not evidenced</x:v>
      </x:c>
      <x:c r="F51" s="33" t="str">
        <x:v>GST</x:v>
      </x:c>
      <x:c r="G51" s="34" t="n">
        <x:v>20700</x:v>
      </x:c>
      <x:c r="H51" s="33" t="str">
        <x:v>Needs attention</x:v>
      </x:c>
      <x:c r="I51" s="33" t="str">
        <x:v>Reconcile invoice and ITC eligibility to GSTR-2B; retain export.</x:v>
      </x:c>
      <x:c r="J51" s="33" t="str">
        <x:v>GST team</x:v>
      </x:c>
      <x:c r="K51" s="33" t="str">
        <x:v>Open</x:v>
      </x:c>
    </x:row>
    <x:row r="52">
      <x:c r="A52" s="33" t="str">
        <x:v>EX-051</x:v>
      </x:c>
      <x:c r="B52" s="33" t="str">
        <x:v>INV-013</x:v>
      </x:c>
      <x:c r="C52" s="33" t="str">
        <x:v>Shree Cargo Movers Private Limited</x:v>
      </x:c>
      <x:c r="D52" s="33" t="str">
        <x:v>SCM/MH/26/1907</x:v>
      </x:c>
      <x:c r="E52" s="33" t="str">
        <x:v>Payment date / bank evidence missing</x:v>
      </x:c>
      <x:c r="F52" s="33" t="str">
        <x:v>GST / MSME</x:v>
      </x:c>
      <x:c r="G52" s="34" t="n">
        <x:v>135700</x:v>
      </x:c>
      <x:c r="H52" s="33" t="str">
        <x:v>Needs attention</x:v>
      </x:c>
      <x:c r="I52" s="33" t="str">
        <x:v>Enter payment date and bank reference; test 180-day ITC and 45-day MSME clocks.</x:v>
      </x:c>
      <x:c r="J52" s="33" t="str">
        <x:v>AP team</x:v>
      </x:c>
      <x:c r="K52" s="33" t="str">
        <x:v>Open</x:v>
      </x:c>
    </x:row>
    <x:row r="53">
      <x:c r="A53" s="33" t="str">
        <x:v>EX-052</x:v>
      </x:c>
      <x:c r="B53" s="33" t="str">
        <x:v>INV-013</x:v>
      </x:c>
      <x:c r="C53" s="33" t="str">
        <x:v>Shree Cargo Movers Private Limited</x:v>
      </x:c>
      <x:c r="D53" s="33" t="str">
        <x:v>SCM/MH/26/1907</x:v>
      </x:c>
      <x:c r="E53" s="33" t="str">
        <x:v>TDS deduction, deposit and return evidence missing (194C)</x:v>
      </x:c>
      <x:c r="F53" s="33" t="str">
        <x:v>TDS</x:v>
      </x:c>
      <x:c r="G53" s="34" t="n">
        <x:v>115000</x:v>
      </x:c>
      <x:c r="H53" s="33" t="str">
        <x:v>Needs attention</x:v>
      </x:c>
      <x:c r="I53" s="33" t="str">
        <x:v>Confirm payee constitution; individual/HUF rate may be 1%</x:v>
      </x:c>
      <x:c r="J53" s="33" t="str">
        <x:v>TDS team</x:v>
      </x:c>
      <x:c r="K53" s="33" t="str">
        <x:v>Open</x:v>
      </x:c>
    </x:row>
    <x:row r="54">
      <x:c r="A54" s="33" t="str">
        <x:v>EX-053</x:v>
      </x:c>
      <x:c r="B54" s="33" t="str">
        <x:v>INV-014</x:v>
      </x:c>
      <x:c r="C54" s="33" t="str">
        <x:v>Swift Courier &amp; Logistics Private Limited</x:v>
      </x:c>
      <x:c r="D54" s="33" t="str">
        <x:v>SWC/DL/09-26/311</x:v>
      </x:c>
      <x:c r="E54" s="33" t="str">
        <x:v>GSTIN active-status evidence missing</x:v>
      </x:c>
      <x:c r="F54" s="33" t="str">
        <x:v>GST</x:v>
      </x:c>
      <x:c r="G54" s="34" t="n">
        <x:v>63720</x:v>
      </x:c>
      <x:c r="H54" s="33" t="str">
        <x:v>Needs attention</x:v>
      </x:c>
      <x:c r="I54" s="33" t="str">
        <x:v>Check GST portal registration status and effective date.</x:v>
      </x:c>
      <x:c r="J54" s="33" t="str">
        <x:v>Tax team</x:v>
      </x:c>
      <x:c r="K54" s="33" t="str">
        <x:v>Open</x:v>
      </x:c>
    </x:row>
    <x:row r="55">
      <x:c r="A55" s="33" t="str">
        <x:v>EX-054</x:v>
      </x:c>
      <x:c r="B55" s="33" t="str">
        <x:v>INV-014</x:v>
      </x:c>
      <x:c r="C55" s="33" t="str">
        <x:v>Swift Courier &amp; Logistics Private Limited</x:v>
      </x:c>
      <x:c r="D55" s="33" t="str">
        <x:v>SWC/DL/09-26/311</x:v>
      </x:c>
      <x:c r="E55" s="33" t="str">
        <x:v>GSTR-2B reconciliation not evidenced</x:v>
      </x:c>
      <x:c r="F55" s="33" t="str">
        <x:v>GST</x:v>
      </x:c>
      <x:c r="G55" s="34" t="n">
        <x:v>9720</x:v>
      </x:c>
      <x:c r="H55" s="33" t="str">
        <x:v>Needs attention</x:v>
      </x:c>
      <x:c r="I55" s="33" t="str">
        <x:v>Reconcile invoice and ITC eligibility to GSTR-2B; retain export.</x:v>
      </x:c>
      <x:c r="J55" s="33" t="str">
        <x:v>GST team</x:v>
      </x:c>
      <x:c r="K55" s="33" t="str">
        <x:v>Open</x:v>
      </x:c>
    </x:row>
    <x:row r="56">
      <x:c r="A56" s="33" t="str">
        <x:v>EX-055</x:v>
      </x:c>
      <x:c r="B56" s="33" t="str">
        <x:v>INV-014</x:v>
      </x:c>
      <x:c r="C56" s="33" t="str">
        <x:v>Swift Courier &amp; Logistics Private Limited</x:v>
      </x:c>
      <x:c r="D56" s="33" t="str">
        <x:v>SWC/DL/09-26/311</x:v>
      </x:c>
      <x:c r="E56" s="33" t="str">
        <x:v>Payment date / bank evidence missing</x:v>
      </x:c>
      <x:c r="F56" s="33" t="str">
        <x:v>GST / MSME</x:v>
      </x:c>
      <x:c r="G56" s="34" t="n">
        <x:v>63720</x:v>
      </x:c>
      <x:c r="H56" s="33" t="str">
        <x:v>Needs attention</x:v>
      </x:c>
      <x:c r="I56" s="33" t="str">
        <x:v>Enter payment date and bank reference; test 180-day ITC and 45-day MSME clocks.</x:v>
      </x:c>
      <x:c r="J56" s="33" t="str">
        <x:v>AP team</x:v>
      </x:c>
      <x:c r="K56" s="33" t="str">
        <x:v>Open</x:v>
      </x:c>
    </x:row>
    <x:row r="57">
      <x:c r="A57" s="33" t="str">
        <x:v>EX-056</x:v>
      </x:c>
      <x:c r="B57" s="33" t="str">
        <x:v>INV-014</x:v>
      </x:c>
      <x:c r="C57" s="33" t="str">
        <x:v>Swift Courier &amp; Logistics Private Limited</x:v>
      </x:c>
      <x:c r="D57" s="33" t="str">
        <x:v>SWC/DL/09-26/311</x:v>
      </x:c>
      <x:c r="E57" s="33" t="str">
        <x:v>TDS deduction, deposit and return evidence missing (194C)</x:v>
      </x:c>
      <x:c r="F57" s="33" t="str">
        <x:v>TDS</x:v>
      </x:c>
      <x:c r="G57" s="34" t="n">
        <x:v>54000</x:v>
      </x:c>
      <x:c r="H57" s="33" t="str">
        <x:v>Needs attention</x:v>
      </x:c>
      <x:c r="I57" s="33" t="str">
        <x:v>Confirm payee constitution; individual/HUF rate may be 1%</x:v>
      </x:c>
      <x:c r="J57" s="33" t="str">
        <x:v>TDS team</x:v>
      </x:c>
      <x:c r="K57" s="33" t="str">
        <x:v>Open</x:v>
      </x:c>
    </x:row>
    <x:row r="58">
      <x:c r="A58" s="33" t="str">
        <x:v>EX-057</x:v>
      </x:c>
      <x:c r="B58" s="33" t="str">
        <x:v>INV-015</x:v>
      </x:c>
      <x:c r="C58" s="33" t="str">
        <x:v>Ankit Verma (Channel Partner)</x:v>
      </x:c>
      <x:c r="D58" s="33" t="str">
        <x:v>AV/COM/2026/07</x:v>
      </x:c>
      <x:c r="E58" s="33" t="str">
        <x:v>GSTIN active-status evidence missing</x:v>
      </x:c>
      <x:c r="F58" s="33" t="str">
        <x:v>GST</x:v>
      </x:c>
      <x:c r="G58" s="34" t="n">
        <x:v>100300</x:v>
      </x:c>
      <x:c r="H58" s="33" t="str">
        <x:v>Needs attention</x:v>
      </x:c>
      <x:c r="I58" s="33" t="str">
        <x:v>Check GST portal registration status and effective date.</x:v>
      </x:c>
      <x:c r="J58" s="33" t="str">
        <x:v>Tax team</x:v>
      </x:c>
      <x:c r="K58" s="33" t="str">
        <x:v>Open</x:v>
      </x:c>
    </x:row>
    <x:row r="59">
      <x:c r="A59" s="33" t="str">
        <x:v>EX-058</x:v>
      </x:c>
      <x:c r="B59" s="33" t="str">
        <x:v>INV-015</x:v>
      </x:c>
      <x:c r="C59" s="33" t="str">
        <x:v>Ankit Verma (Channel Partner)</x:v>
      </x:c>
      <x:c r="D59" s="33" t="str">
        <x:v>AV/COM/2026/07</x:v>
      </x:c>
      <x:c r="E59" s="33" t="str">
        <x:v>GSTR-2B reconciliation not evidenced</x:v>
      </x:c>
      <x:c r="F59" s="33" t="str">
        <x:v>GST</x:v>
      </x:c>
      <x:c r="G59" s="34" t="n">
        <x:v>15300</x:v>
      </x:c>
      <x:c r="H59" s="33" t="str">
        <x:v>Needs attention</x:v>
      </x:c>
      <x:c r="I59" s="33" t="str">
        <x:v>Reconcile invoice and ITC eligibility to GSTR-2B; retain export.</x:v>
      </x:c>
      <x:c r="J59" s="33" t="str">
        <x:v>GST team</x:v>
      </x:c>
      <x:c r="K59" s="33" t="str">
        <x:v>Open</x:v>
      </x:c>
    </x:row>
    <x:row r="60">
      <x:c r="A60" s="33" t="str">
        <x:v>EX-059</x:v>
      </x:c>
      <x:c r="B60" s="33" t="str">
        <x:v>INV-015</x:v>
      </x:c>
      <x:c r="C60" s="33" t="str">
        <x:v>Ankit Verma (Channel Partner)</x:v>
      </x:c>
      <x:c r="D60" s="33" t="str">
        <x:v>AV/COM/2026/07</x:v>
      </x:c>
      <x:c r="E60" s="33" t="str">
        <x:v>Payment date / bank evidence missing</x:v>
      </x:c>
      <x:c r="F60" s="33" t="str">
        <x:v>GST / MSME</x:v>
      </x:c>
      <x:c r="G60" s="34" t="n">
        <x:v>100300</x:v>
      </x:c>
      <x:c r="H60" s="33" t="str">
        <x:v>Needs attention</x:v>
      </x:c>
      <x:c r="I60" s="33" t="str">
        <x:v>Enter payment date and bank reference; test 180-day ITC and 45-day MSME clocks.</x:v>
      </x:c>
      <x:c r="J60" s="33" t="str">
        <x:v>AP team</x:v>
      </x:c>
      <x:c r="K60" s="33" t="str">
        <x:v>Open</x:v>
      </x:c>
    </x:row>
    <x:row r="61">
      <x:c r="A61" s="33" t="str">
        <x:v>EX-060</x:v>
      </x:c>
      <x:c r="B61" s="33" t="str">
        <x:v>INV-015</x:v>
      </x:c>
      <x:c r="C61" s="33" t="str">
        <x:v>Ankit Verma (Channel Partner)</x:v>
      </x:c>
      <x:c r="D61" s="33" t="str">
        <x:v>AV/COM/2026/07</x:v>
      </x:c>
      <x:c r="E61" s="33" t="str">
        <x:v>TDS deduction, deposit and return evidence missing (194H)</x:v>
      </x:c>
      <x:c r="F61" s="33" t="str">
        <x:v>TDS</x:v>
      </x:c>
      <x:c r="G61" s="34" t="n">
        <x:v>85000</x:v>
      </x:c>
      <x:c r="H61" s="33" t="str">
        <x:v>Needs attention</x:v>
      </x:c>
      <x:c r="I61" s="33" t="str">
        <x:v>Commission; confirm aggregate threshold and PAN</x:v>
      </x:c>
      <x:c r="J61" s="33" t="str">
        <x:v>TDS team</x:v>
      </x:c>
      <x:c r="K61" s="33" t="str">
        <x:v>Open</x:v>
      </x:c>
    </x:row>
    <x:row r="62">
      <x:c r="A62" s="33" t="str">
        <x:v>EX-061</x:v>
      </x:c>
      <x:c r="B62" s="33" t="str">
        <x:v>INV-016</x:v>
      </x:c>
      <x:c r="C62" s="33" t="str">
        <x:v>Neha Joshi</x:v>
      </x:c>
      <x:c r="D62" s="33" t="str">
        <x:v>NJ-01</x:v>
      </x:c>
      <x:c r="E62" s="33" t="str">
        <x:v>GSTIN active-status evidence missing</x:v>
      </x:c>
      <x:c r="F62" s="33" t="str">
        <x:v>GST</x:v>
      </x:c>
      <x:c r="G62" s="34" t="n">
        <x:v>15000</x:v>
      </x:c>
      <x:c r="H62" s="33" t="str">
        <x:v>Needs attention</x:v>
      </x:c>
      <x:c r="I62" s="33" t="str">
        <x:v>Check GST portal registration status and effective date.</x:v>
      </x:c>
      <x:c r="J62" s="33" t="str">
        <x:v>Tax team</x:v>
      </x:c>
      <x:c r="K62" s="33" t="str">
        <x:v>Open</x:v>
      </x:c>
    </x:row>
    <x:row r="63">
      <x:c r="A63" s="33" t="str">
        <x:v>EX-062</x:v>
      </x:c>
      <x:c r="B63" s="33" t="str">
        <x:v>INV-016</x:v>
      </x:c>
      <x:c r="C63" s="33" t="str">
        <x:v>Neha Joshi</x:v>
      </x:c>
      <x:c r="D63" s="33" t="str">
        <x:v>NJ-01</x:v>
      </x:c>
      <x:c r="E63" s="33" t="str">
        <x:v>GSTR-2B reconciliation not evidenced</x:v>
      </x:c>
      <x:c r="F63" s="33" t="str">
        <x:v>GST</x:v>
      </x:c>
      <x:c r="G63" s="34" t="n">
        <x:v>0</x:v>
      </x:c>
      <x:c r="H63" s="33" t="str">
        <x:v>Needs attention</x:v>
      </x:c>
      <x:c r="I63" s="33" t="str">
        <x:v>Reconcile invoice and ITC eligibility to GSTR-2B; retain export.</x:v>
      </x:c>
      <x:c r="J63" s="33" t="str">
        <x:v>GST team</x:v>
      </x:c>
      <x:c r="K63" s="33" t="str">
        <x:v>Open</x:v>
      </x:c>
    </x:row>
    <x:row r="64">
      <x:c r="A64" s="33" t="str">
        <x:v>EX-063</x:v>
      </x:c>
      <x:c r="B64" s="33" t="str">
        <x:v>INV-016</x:v>
      </x:c>
      <x:c r="C64" s="33" t="str">
        <x:v>Neha Joshi</x:v>
      </x:c>
      <x:c r="D64" s="33" t="str">
        <x:v>NJ-01</x:v>
      </x:c>
      <x:c r="E64" s="33" t="str">
        <x:v>Payment date / bank evidence missing</x:v>
      </x:c>
      <x:c r="F64" s="33" t="str">
        <x:v>GST / MSME</x:v>
      </x:c>
      <x:c r="G64" s="34" t="n">
        <x:v>15000</x:v>
      </x:c>
      <x:c r="H64" s="33" t="str">
        <x:v>Needs attention</x:v>
      </x:c>
      <x:c r="I64" s="33" t="str">
        <x:v>Enter payment date and bank reference; test 180-day ITC and 45-day MSME clocks.</x:v>
      </x:c>
      <x:c r="J64" s="33" t="str">
        <x:v>AP team</x:v>
      </x:c>
      <x:c r="K64" s="33" t="str">
        <x:v>Open</x:v>
      </x:c>
    </x:row>
    <x:row r="65">
      <x:c r="A65" s="33" t="str">
        <x:v>EX-064</x:v>
      </x:c>
      <x:c r="B65" s="33" t="str">
        <x:v>INV-017</x:v>
      </x:c>
      <x:c r="C65" s="33" t="str">
        <x:v>Digital Hub Distributors Private Limited</x:v>
      </x:c>
      <x:c r="D65" s="33" t="str">
        <x:v>DHD/KA/2627/00877</x:v>
      </x:c>
      <x:c r="E65" s="33" t="str">
        <x:v>GSTIN active-status evidence missing</x:v>
      </x:c>
      <x:c r="F65" s="33" t="str">
        <x:v>GST</x:v>
      </x:c>
      <x:c r="G65" s="34" t="n">
        <x:v>4956000</x:v>
      </x:c>
      <x:c r="H65" s="33" t="str">
        <x:v>Needs attention</x:v>
      </x:c>
      <x:c r="I65" s="33" t="str">
        <x:v>Check GST portal registration status and effective date.</x:v>
      </x:c>
      <x:c r="J65" s="33" t="str">
        <x:v>Tax team</x:v>
      </x:c>
      <x:c r="K65" s="33" t="str">
        <x:v>Open</x:v>
      </x:c>
    </x:row>
    <x:row r="66">
      <x:c r="A66" s="33" t="str">
        <x:v>EX-065</x:v>
      </x:c>
      <x:c r="B66" s="33" t="str">
        <x:v>INV-017</x:v>
      </x:c>
      <x:c r="C66" s="33" t="str">
        <x:v>Digital Hub Distributors Private Limited</x:v>
      </x:c>
      <x:c r="D66" s="33" t="str">
        <x:v>DHD/KA/2627/00877</x:v>
      </x:c>
      <x:c r="E66" s="33" t="str">
        <x:v>GSTR-2B reconciliation not evidenced</x:v>
      </x:c>
      <x:c r="F66" s="33" t="str">
        <x:v>GST</x:v>
      </x:c>
      <x:c r="G66" s="34" t="n">
        <x:v>756000</x:v>
      </x:c>
      <x:c r="H66" s="33" t="str">
        <x:v>Needs attention</x:v>
      </x:c>
      <x:c r="I66" s="33" t="str">
        <x:v>Reconcile invoice and ITC eligibility to GSTR-2B; retain export.</x:v>
      </x:c>
      <x:c r="J66" s="33" t="str">
        <x:v>GST team</x:v>
      </x:c>
      <x:c r="K66" s="33" t="str">
        <x:v>Open</x:v>
      </x:c>
    </x:row>
    <x:row r="67">
      <x:c r="A67" s="33" t="str">
        <x:v>EX-066</x:v>
      </x:c>
      <x:c r="B67" s="33" t="str">
        <x:v>INV-017</x:v>
      </x:c>
      <x:c r="C67" s="33" t="str">
        <x:v>Digital Hub Distributors Private Limited</x:v>
      </x:c>
      <x:c r="D67" s="33" t="str">
        <x:v>DHD/KA/2627/00877</x:v>
      </x:c>
      <x:c r="E67" s="33" t="str">
        <x:v>Payment date / bank evidence missing</x:v>
      </x:c>
      <x:c r="F67" s="33" t="str">
        <x:v>GST / MSME</x:v>
      </x:c>
      <x:c r="G67" s="34" t="n">
        <x:v>4956000</x:v>
      </x:c>
      <x:c r="H67" s="33" t="str">
        <x:v>Needs attention</x:v>
      </x:c>
      <x:c r="I67" s="33" t="str">
        <x:v>Enter payment date and bank reference; test 180-day ITC and 45-day MSME clocks.</x:v>
      </x:c>
      <x:c r="J67" s="33" t="str">
        <x:v>AP team</x:v>
      </x:c>
      <x:c r="K67" s="33" t="str">
        <x:v>Open</x:v>
      </x:c>
    </x:row>
    <x:row r="68">
      <x:c r="A68" s="33" t="str">
        <x:v>EX-067</x:v>
      </x:c>
      <x:c r="B68" s="33" t="str">
        <x:v>INV-017</x:v>
      </x:c>
      <x:c r="C68" s="33" t="str">
        <x:v>Digital Hub Distributors Private Limited</x:v>
      </x:c>
      <x:c r="D68" s="33" t="str">
        <x:v>DHD/KA/2627/00877</x:v>
      </x:c>
      <x:c r="E68" s="33" t="str">
        <x:v>TDS deduction, deposit and return evidence missing (194Q)</x:v>
      </x:c>
      <x:c r="F68" s="33" t="str">
        <x:v>TDS</x:v>
      </x:c>
      <x:c r="G68" s="34" t="n">
        <x:v>4200000</x:v>
      </x:c>
      <x:c r="H68" s="33" t="str">
        <x:v>Needs attention</x:v>
      </x:c>
      <x:c r="I68" s="33" t="str">
        <x:v>Apply only if buyer conditions and annual purchases threshold are met</x:v>
      </x:c>
      <x:c r="J68" s="33" t="str">
        <x:v>TDS team</x:v>
      </x:c>
      <x:c r="K68" s="33" t="str">
        <x:v>Open</x:v>
      </x:c>
    </x:row>
    <x:row r="69">
      <x:c r="A69" s="33" t="str">
        <x:v>EX-068</x:v>
      </x:c>
      <x:c r="B69" s="33" t="str">
        <x:v>INV-018</x:v>
      </x:c>
      <x:c r="C69" s="33" t="str">
        <x:v>Pustak Bhandar (Prop. Vinod Arora)</x:v>
      </x:c>
      <x:c r="D69" s="33" t="str">
        <x:v>PB/1452</x:v>
      </x:c>
      <x:c r="E69" s="33" t="str">
        <x:v>GSTIN active-status evidence missing</x:v>
      </x:c>
      <x:c r="F69" s="33" t="str">
        <x:v>GST</x:v>
      </x:c>
      <x:c r="G69" s="34" t="n">
        <x:v>140000</x:v>
      </x:c>
      <x:c r="H69" s="33" t="str">
        <x:v>Needs attention</x:v>
      </x:c>
      <x:c r="I69" s="33" t="str">
        <x:v>Check GST portal registration status and effective date.</x:v>
      </x:c>
      <x:c r="J69" s="33" t="str">
        <x:v>Tax team</x:v>
      </x:c>
      <x:c r="K69" s="33" t="str">
        <x:v>Open</x:v>
      </x:c>
    </x:row>
    <x:row r="70">
      <x:c r="A70" s="33" t="str">
        <x:v>EX-069</x:v>
      </x:c>
      <x:c r="B70" s="33" t="str">
        <x:v>INV-018</x:v>
      </x:c>
      <x:c r="C70" s="33" t="str">
        <x:v>Pustak Bhandar (Prop. Vinod Arora)</x:v>
      </x:c>
      <x:c r="D70" s="33" t="str">
        <x:v>PB/1452</x:v>
      </x:c>
      <x:c r="E70" s="33" t="str">
        <x:v>GSTR-2B reconciliation not evidenced</x:v>
      </x:c>
      <x:c r="F70" s="33" t="str">
        <x:v>GST</x:v>
      </x:c>
      <x:c r="G70" s="34" t="n">
        <x:v>0</x:v>
      </x:c>
      <x:c r="H70" s="33" t="str">
        <x:v>Needs attention</x:v>
      </x:c>
      <x:c r="I70" s="33" t="str">
        <x:v>Reconcile invoice and ITC eligibility to GSTR-2B; retain export.</x:v>
      </x:c>
      <x:c r="J70" s="33" t="str">
        <x:v>GST team</x:v>
      </x:c>
      <x:c r="K70" s="33" t="str">
        <x:v>Open</x:v>
      </x:c>
    </x:row>
    <x:row r="71">
      <x:c r="A71" s="33" t="str">
        <x:v>EX-070</x:v>
      </x:c>
      <x:c r="B71" s="33" t="str">
        <x:v>INV-018</x:v>
      </x:c>
      <x:c r="C71" s="33" t="str">
        <x:v>Pustak Bhandar (Prop. Vinod Arora)</x:v>
      </x:c>
      <x:c r="D71" s="33" t="str">
        <x:v>PB/1452</x:v>
      </x:c>
      <x:c r="E71" s="33" t="str">
        <x:v>Payment date / bank evidence missing</x:v>
      </x:c>
      <x:c r="F71" s="33" t="str">
        <x:v>GST / MSME</x:v>
      </x:c>
      <x:c r="G71" s="34" t="n">
        <x:v>140000</x:v>
      </x:c>
      <x:c r="H71" s="33" t="str">
        <x:v>Needs attention</x:v>
      </x:c>
      <x:c r="I71" s="33" t="str">
        <x:v>Enter payment date and bank reference; test 180-day ITC and 45-day MSME clocks.</x:v>
      </x:c>
      <x:c r="J71" s="33" t="str">
        <x:v>AP team</x:v>
      </x:c>
      <x:c r="K71" s="33" t="str">
        <x:v>Open</x:v>
      </x:c>
    </x:row>
    <x:row r="72">
      <x:c r="A72" s="33" t="str">
        <x:v>EX-071</x:v>
      </x:c>
      <x:c r="B72" s="33" t="str">
        <x:v>INV-018</x:v>
      </x:c>
      <x:c r="C72" s="33" t="str">
        <x:v>Pustak Bhandar (Prop. Vinod Arora)</x:v>
      </x:c>
      <x:c r="D72" s="33" t="str">
        <x:v>PB/1452</x:v>
      </x:c>
      <x:c r="E72" s="33" t="str">
        <x:v>TDS deduction, deposit and return evidence missing (194Q)</x:v>
      </x:c>
      <x:c r="F72" s="33" t="str">
        <x:v>TDS</x:v>
      </x:c>
      <x:c r="G72" s="34" t="n">
        <x:v>140000</x:v>
      </x:c>
      <x:c r="H72" s="33" t="str">
        <x:v>Needs attention</x:v>
      </x:c>
      <x:c r="I72" s="33" t="str">
        <x:v>Apply only if buyer conditions and annual purchases threshold are met</x:v>
      </x:c>
      <x:c r="J72" s="33" t="str">
        <x:v>TDS team</x:v>
      </x:c>
      <x:c r="K72" s="33" t="str">
        <x:v>Open</x:v>
      </x:c>
    </x:row>
    <x:row r="73">
      <x:c r="A73" s="33" t="str">
        <x:v>EX-072</x:v>
      </x:c>
      <x:c r="B73" s="33" t="str">
        <x:v>INV-019</x:v>
      </x:c>
      <x:c r="C73" s="33" t="str">
        <x:v>CoolAir Systems Private Limited</x:v>
      </x:c>
      <x:c r="D73" s="33" t="str">
        <x:v>CAS/HR/26-27/0399</x:v>
      </x:c>
      <x:c r="E73" s="33" t="str">
        <x:v>GSTIN active-status evidence missing</x:v>
      </x:c>
      <x:c r="F73" s="33" t="str">
        <x:v>GST</x:v>
      </x:c>
      <x:c r="G73" s="34" t="n">
        <x:v>372880</x:v>
      </x:c>
      <x:c r="H73" s="33" t="str">
        <x:v>Needs attention</x:v>
      </x:c>
      <x:c r="I73" s="33" t="str">
        <x:v>Check GST portal registration status and effective date.</x:v>
      </x:c>
      <x:c r="J73" s="33" t="str">
        <x:v>Tax team</x:v>
      </x:c>
      <x:c r="K73" s="33" t="str">
        <x:v>Open</x:v>
      </x:c>
    </x:row>
    <x:row r="74">
      <x:c r="A74" s="33" t="str">
        <x:v>EX-073</x:v>
      </x:c>
      <x:c r="B74" s="33" t="str">
        <x:v>INV-019</x:v>
      </x:c>
      <x:c r="C74" s="33" t="str">
        <x:v>CoolAir Systems Private Limited</x:v>
      </x:c>
      <x:c r="D74" s="33" t="str">
        <x:v>CAS/HR/26-27/0399</x:v>
      </x:c>
      <x:c r="E74" s="33" t="str">
        <x:v>GSTR-2B reconciliation not evidenced</x:v>
      </x:c>
      <x:c r="F74" s="33" t="str">
        <x:v>GST</x:v>
      </x:c>
      <x:c r="G74" s="34" t="n">
        <x:v>56880</x:v>
      </x:c>
      <x:c r="H74" s="33" t="str">
        <x:v>Needs attention</x:v>
      </x:c>
      <x:c r="I74" s="33" t="str">
        <x:v>Reconcile invoice and ITC eligibility to GSTR-2B; retain export.</x:v>
      </x:c>
      <x:c r="J74" s="33" t="str">
        <x:v>GST team</x:v>
      </x:c>
      <x:c r="K74" s="33" t="str">
        <x:v>Open</x:v>
      </x:c>
    </x:row>
    <x:row r="75">
      <x:c r="A75" s="33" t="str">
        <x:v>EX-074</x:v>
      </x:c>
      <x:c r="B75" s="33" t="str">
        <x:v>INV-019</x:v>
      </x:c>
      <x:c r="C75" s="33" t="str">
        <x:v>CoolAir Systems Private Limited</x:v>
      </x:c>
      <x:c r="D75" s="33" t="str">
        <x:v>CAS/HR/26-27/0399</x:v>
      </x:c>
      <x:c r="E75" s="33" t="str">
        <x:v>Payment date / bank evidence missing</x:v>
      </x:c>
      <x:c r="F75" s="33" t="str">
        <x:v>GST / MSME</x:v>
      </x:c>
      <x:c r="G75" s="34" t="n">
        <x:v>372880</x:v>
      </x:c>
      <x:c r="H75" s="33" t="str">
        <x:v>Needs attention</x:v>
      </x:c>
      <x:c r="I75" s="33" t="str">
        <x:v>Enter payment date and bank reference; test 180-day ITC and 45-day MSME clocks.</x:v>
      </x:c>
      <x:c r="J75" s="33" t="str">
        <x:v>AP team</x:v>
      </x:c>
      <x:c r="K75" s="33" t="str">
        <x:v>Open</x:v>
      </x:c>
    </x:row>
    <x:row r="76">
      <x:c r="A76" s="33" t="str">
        <x:v>EX-075</x:v>
      </x:c>
      <x:c r="B76" s="33" t="str">
        <x:v>INV-019</x:v>
      </x:c>
      <x:c r="C76" s="33" t="str">
        <x:v>CoolAir Systems Private Limited</x:v>
      </x:c>
      <x:c r="D76" s="33" t="str">
        <x:v>CAS/HR/26-27/0399</x:v>
      </x:c>
      <x:c r="E76" s="33" t="str">
        <x:v>TDS deduction, deposit and return evidence missing (194Q)</x:v>
      </x:c>
      <x:c r="F76" s="33" t="str">
        <x:v>TDS</x:v>
      </x:c>
      <x:c r="G76" s="34" t="n">
        <x:v>316000</x:v>
      </x:c>
      <x:c r="H76" s="33" t="str">
        <x:v>Needs attention</x:v>
      </x:c>
      <x:c r="I76" s="33" t="str">
        <x:v>Apply only if buyer conditions and annual purchases threshold are met</x:v>
      </x:c>
      <x:c r="J76" s="33" t="str">
        <x:v>TDS team</x:v>
      </x:c>
      <x:c r="K76" s="33" t="str">
        <x:v>Open</x:v>
      </x:c>
    </x:row>
    <x:row r="77">
      <x:c r="A77" s="33" t="str">
        <x:v>EX-076</x:v>
      </x:c>
      <x:c r="B77" s="33" t="str">
        <x:v>INV-020</x:v>
      </x:c>
      <x:c r="C77" s="33" t="str">
        <x:v>TechFix Solutions</x:v>
      </x:c>
      <x:c r="D77" s="33" t="str">
        <x:v>TFS/2026/218</x:v>
      </x:c>
      <x:c r="E77" s="33" t="str">
        <x:v>GSTIN active-status evidence missing</x:v>
      </x:c>
      <x:c r="F77" s="33" t="str">
        <x:v>GST</x:v>
      </x:c>
      <x:c r="G77" s="34" t="n">
        <x:v>194700</x:v>
      </x:c>
      <x:c r="H77" s="33" t="str">
        <x:v>Needs attention</x:v>
      </x:c>
      <x:c r="I77" s="33" t="str">
        <x:v>Check GST portal registration status and effective date.</x:v>
      </x:c>
      <x:c r="J77" s="33" t="str">
        <x:v>Tax team</x:v>
      </x:c>
      <x:c r="K77" s="33" t="str">
        <x:v>Open</x:v>
      </x:c>
    </x:row>
    <x:row r="78">
      <x:c r="A78" s="33" t="str">
        <x:v>EX-077</x:v>
      </x:c>
      <x:c r="B78" s="33" t="str">
        <x:v>INV-020</x:v>
      </x:c>
      <x:c r="C78" s="33" t="str">
        <x:v>TechFix Solutions</x:v>
      </x:c>
      <x:c r="D78" s="33" t="str">
        <x:v>TFS/2026/218</x:v>
      </x:c>
      <x:c r="E78" s="33" t="str">
        <x:v>GSTR-2B reconciliation not evidenced</x:v>
      </x:c>
      <x:c r="F78" s="33" t="str">
        <x:v>GST</x:v>
      </x:c>
      <x:c r="G78" s="34" t="n">
        <x:v>29700</x:v>
      </x:c>
      <x:c r="H78" s="33" t="str">
        <x:v>Needs attention</x:v>
      </x:c>
      <x:c r="I78" s="33" t="str">
        <x:v>Reconcile invoice and ITC eligibility to GSTR-2B; retain export.</x:v>
      </x:c>
      <x:c r="J78" s="33" t="str">
        <x:v>GST team</x:v>
      </x:c>
      <x:c r="K78" s="33" t="str">
        <x:v>Open</x:v>
      </x:c>
    </x:row>
    <x:row r="79">
      <x:c r="A79" s="33" t="str">
        <x:v>EX-078</x:v>
      </x:c>
      <x:c r="B79" s="33" t="str">
        <x:v>INV-020</x:v>
      </x:c>
      <x:c r="C79" s="33" t="str">
        <x:v>TechFix Solutions</x:v>
      </x:c>
      <x:c r="D79" s="33" t="str">
        <x:v>TFS/2026/218</x:v>
      </x:c>
      <x:c r="E79" s="33" t="str">
        <x:v>Payment date / bank evidence missing</x:v>
      </x:c>
      <x:c r="F79" s="33" t="str">
        <x:v>GST / MSME</x:v>
      </x:c>
      <x:c r="G79" s="34" t="n">
        <x:v>194700</x:v>
      </x:c>
      <x:c r="H79" s="33" t="str">
        <x:v>Needs attention</x:v>
      </x:c>
      <x:c r="I79" s="33" t="str">
        <x:v>Enter payment date and bank reference; test 180-day ITC and 45-day MSME clocks.</x:v>
      </x:c>
      <x:c r="J79" s="33" t="str">
        <x:v>AP team</x:v>
      </x:c>
      <x:c r="K79" s="33" t="str">
        <x:v>Open</x:v>
      </x:c>
    </x:row>
    <x:row r="80">
      <x:c r="A80" s="33" t="str">
        <x:v>EX-079</x:v>
      </x:c>
      <x:c r="B80" s="33" t="str">
        <x:v>INV-020</x:v>
      </x:c>
      <x:c r="C80" s="33" t="str">
        <x:v>TechFix Solutions</x:v>
      </x:c>
      <x:c r="D80" s="33" t="str">
        <x:v>TFS/2026/218</x:v>
      </x:c>
      <x:c r="E80" s="33" t="str">
        <x:v>TDS deduction, deposit and return evidence missing (194J)</x:v>
      </x:c>
      <x:c r="F80" s="33" t="str">
        <x:v>TDS</x:v>
      </x:c>
      <x:c r="G80" s="34" t="n">
        <x:v>165000</x:v>
      </x:c>
      <x:c r="H80" s="33" t="str">
        <x:v>Needs attention</x:v>
      </x:c>
      <x:c r="I80" s="33" t="str">
        <x:v>Classify professional vs technical and confirm rate</x:v>
      </x:c>
      <x:c r="J80" s="33" t="str">
        <x:v>TDS team</x:v>
      </x:c>
      <x:c r="K80" s="33" t="str">
        <x:v>Open</x:v>
      </x:c>
    </x:row>
    <x:row r="81">
      <x:c r="A81" s="33" t="str">
        <x:v>EX-080</x:v>
      </x:c>
      <x:c r="B81" s="33" t="str">
        <x:v>INV-021</x:v>
      </x:c>
      <x:c r="C81" s="33" t="str">
        <x:v>Adv. Karan Malhotra</x:v>
      </x:c>
      <x:c r="D81" s="33" t="str">
        <x:v>KM/LEG/26/09</x:v>
      </x:c>
      <x:c r="E81" s="33" t="str">
        <x:v>GSTIN active-status evidence missing</x:v>
      </x:c>
      <x:c r="F81" s="33" t="str">
        <x:v>GST</x:v>
      </x:c>
      <x:c r="G81" s="34" t="n">
        <x:v>150000</x:v>
      </x:c>
      <x:c r="H81" s="33" t="str">
        <x:v>Needs attention</x:v>
      </x:c>
      <x:c r="I81" s="33" t="str">
        <x:v>Check GST portal registration status and effective date.</x:v>
      </x:c>
      <x:c r="J81" s="33" t="str">
        <x:v>Tax team</x:v>
      </x:c>
      <x:c r="K81" s="33" t="str">
        <x:v>Open</x:v>
      </x:c>
    </x:row>
    <x:row r="82">
      <x:c r="A82" s="33" t="str">
        <x:v>EX-081</x:v>
      </x:c>
      <x:c r="B82" s="33" t="str">
        <x:v>INV-021</x:v>
      </x:c>
      <x:c r="C82" s="33" t="str">
        <x:v>Adv. Karan Malhotra</x:v>
      </x:c>
      <x:c r="D82" s="33" t="str">
        <x:v>KM/LEG/26/09</x:v>
      </x:c>
      <x:c r="E82" s="33" t="str">
        <x:v>GSTR-2B reconciliation not evidenced</x:v>
      </x:c>
      <x:c r="F82" s="33" t="str">
        <x:v>GST</x:v>
      </x:c>
      <x:c r="G82" s="34" t="n">
        <x:v>0</x:v>
      </x:c>
      <x:c r="H82" s="33" t="str">
        <x:v>Needs attention</x:v>
      </x:c>
      <x:c r="I82" s="33" t="str">
        <x:v>Reconcile invoice and ITC eligibility to GSTR-2B; retain export.</x:v>
      </x:c>
      <x:c r="J82" s="33" t="str">
        <x:v>GST team</x:v>
      </x:c>
      <x:c r="K82" s="33" t="str">
        <x:v>Open</x:v>
      </x:c>
    </x:row>
    <x:row r="83">
      <x:c r="A83" s="33" t="str">
        <x:v>EX-082</x:v>
      </x:c>
      <x:c r="B83" s="33" t="str">
        <x:v>INV-021</x:v>
      </x:c>
      <x:c r="C83" s="33" t="str">
        <x:v>Adv. Karan Malhotra</x:v>
      </x:c>
      <x:c r="D83" s="33" t="str">
        <x:v>KM/LEG/26/09</x:v>
      </x:c>
      <x:c r="E83" s="33" t="str">
        <x:v>Payment date / bank evidence missing</x:v>
      </x:c>
      <x:c r="F83" s="33" t="str">
        <x:v>GST / MSME</x:v>
      </x:c>
      <x:c r="G83" s="34" t="n">
        <x:v>150000</x:v>
      </x:c>
      <x:c r="H83" s="33" t="str">
        <x:v>Needs attention</x:v>
      </x:c>
      <x:c r="I83" s="33" t="str">
        <x:v>Enter payment date and bank reference; test 180-day ITC and 45-day MSME clocks.</x:v>
      </x:c>
      <x:c r="J83" s="33" t="str">
        <x:v>AP team</x:v>
      </x:c>
      <x:c r="K83" s="33" t="str">
        <x:v>Open</x:v>
      </x:c>
    </x:row>
    <x:row r="84">
      <x:c r="A84" s="33" t="str">
        <x:v>EX-083</x:v>
      </x:c>
      <x:c r="B84" s="33" t="str">
        <x:v>INV-021</x:v>
      </x:c>
      <x:c r="C84" s="33" t="str">
        <x:v>Adv. Karan Malhotra</x:v>
      </x:c>
      <x:c r="D84" s="33" t="str">
        <x:v>KM/LEG/26/09</x:v>
      </x:c>
      <x:c r="E84" s="33" t="str">
        <x:v>TDS deduction, deposit and return evidence missing (194J)</x:v>
      </x:c>
      <x:c r="F84" s="33" t="str">
        <x:v>TDS</x:v>
      </x:c>
      <x:c r="G84" s="34" t="n">
        <x:v>0</x:v>
      </x:c>
      <x:c r="H84" s="33" t="str">
        <x:v>Needs attention</x:v>
      </x:c>
      <x:c r="I84" s="33" t="str">
        <x:v>Classify professional vs technical and confirm rate</x:v>
      </x:c>
      <x:c r="J84" s="33" t="str">
        <x:v>TDS team</x:v>
      </x:c>
      <x:c r="K84" s="33" t="str">
        <x:v>Open</x:v>
      </x:c>
    </x:row>
    <x:row r="85">
      <x:c r="A85" s="33" t="str">
        <x:v>EX-084</x:v>
      </x:c>
      <x:c r="B85" s="33" t="str">
        <x:v>INV-021</x:v>
      </x:c>
      <x:c r="C85" s="33" t="str">
        <x:v>Adv. Karan Malhotra</x:v>
      </x:c>
      <x:c r="D85" s="33" t="str">
        <x:v>KM/LEG/26/09</x:v>
      </x:c>
      <x:c r="E85" s="33" t="str">
        <x:v>RCM tax payment / ITC evidence missing</x:v>
      </x:c>
      <x:c r="F85" s="33" t="str">
        <x:v>GST</x:v>
      </x:c>
      <x:c r="G85" s="34" t="n">
        <x:v>0</x:v>
      </x:c>
      <x:c r="H85" s="33" t="str">
        <x:v>High risk</x:v>
      </x:c>
      <x:c r="I85" s="33" t="str">
        <x:v>Pay RCM GST in cash, retain payment evidence and verify ITC claim.</x:v>
      </x:c>
      <x:c r="J85" s="33" t="str">
        <x:v>GST team</x:v>
      </x:c>
      <x:c r="K85" s="33" t="str">
        <x:v>Open</x:v>
      </x:c>
    </x:row>
    <x:row r="86">
      <x:c r="A86" s="33" t="str">
        <x:v>EX-085</x:v>
      </x:c>
      <x:c r="B86" s="33" t="str">
        <x:v>INV-022</x:v>
      </x:c>
      <x:c r="C86" s="33" t="str">
        <x:v>Lexpoint Legal LLP</x:v>
      </x:c>
      <x:c r="D86" s="33" t="str">
        <x:v>LPL/MUM/2627/155</x:v>
      </x:c>
      <x:c r="E86" s="33" t="str">
        <x:v>GSTIN active-status evidence missing</x:v>
      </x:c>
      <x:c r="F86" s="33" t="str">
        <x:v>GST</x:v>
      </x:c>
      <x:c r="G86" s="34" t="n">
        <x:v>275000</x:v>
      </x:c>
      <x:c r="H86" s="33" t="str">
        <x:v>Needs attention</x:v>
      </x:c>
      <x:c r="I86" s="33" t="str">
        <x:v>Check GST portal registration status and effective date.</x:v>
      </x:c>
      <x:c r="J86" s="33" t="str">
        <x:v>Tax team</x:v>
      </x:c>
      <x:c r="K86" s="33" t="str">
        <x:v>Open</x:v>
      </x:c>
    </x:row>
    <x:row r="87">
      <x:c r="A87" s="33" t="str">
        <x:v>EX-086</x:v>
      </x:c>
      <x:c r="B87" s="33" t="str">
        <x:v>INV-022</x:v>
      </x:c>
      <x:c r="C87" s="33" t="str">
        <x:v>Lexpoint Legal LLP</x:v>
      </x:c>
      <x:c r="D87" s="33" t="str">
        <x:v>LPL/MUM/2627/155</x:v>
      </x:c>
      <x:c r="E87" s="33" t="str">
        <x:v>GSTR-2B reconciliation not evidenced</x:v>
      </x:c>
      <x:c r="F87" s="33" t="str">
        <x:v>GST</x:v>
      </x:c>
      <x:c r="G87" s="34" t="n">
        <x:v>0</x:v>
      </x:c>
      <x:c r="H87" s="33" t="str">
        <x:v>Needs attention</x:v>
      </x:c>
      <x:c r="I87" s="33" t="str">
        <x:v>Reconcile invoice and ITC eligibility to GSTR-2B; retain export.</x:v>
      </x:c>
      <x:c r="J87" s="33" t="str">
        <x:v>GST team</x:v>
      </x:c>
      <x:c r="K87" s="33" t="str">
        <x:v>Open</x:v>
      </x:c>
    </x:row>
    <x:row r="88">
      <x:c r="A88" s="33" t="str">
        <x:v>EX-087</x:v>
      </x:c>
      <x:c r="B88" s="33" t="str">
        <x:v>INV-022</x:v>
      </x:c>
      <x:c r="C88" s="33" t="str">
        <x:v>Lexpoint Legal LLP</x:v>
      </x:c>
      <x:c r="D88" s="33" t="str">
        <x:v>LPL/MUM/2627/155</x:v>
      </x:c>
      <x:c r="E88" s="33" t="str">
        <x:v>Payment date / bank evidence missing</x:v>
      </x:c>
      <x:c r="F88" s="33" t="str">
        <x:v>GST / MSME</x:v>
      </x:c>
      <x:c r="G88" s="34" t="n">
        <x:v>275000</x:v>
      </x:c>
      <x:c r="H88" s="33" t="str">
        <x:v>Needs attention</x:v>
      </x:c>
      <x:c r="I88" s="33" t="str">
        <x:v>Enter payment date and bank reference; test 180-day ITC and 45-day MSME clocks.</x:v>
      </x:c>
      <x:c r="J88" s="33" t="str">
        <x:v>AP team</x:v>
      </x:c>
      <x:c r="K88" s="33" t="str">
        <x:v>Open</x:v>
      </x:c>
    </x:row>
    <x:row r="89">
      <x:c r="A89" s="33" t="str">
        <x:v>EX-088</x:v>
      </x:c>
      <x:c r="B89" s="33" t="str">
        <x:v>INV-022</x:v>
      </x:c>
      <x:c r="C89" s="33" t="str">
        <x:v>Lexpoint Legal LLP</x:v>
      </x:c>
      <x:c r="D89" s="33" t="str">
        <x:v>LPL/MUM/2627/155</x:v>
      </x:c>
      <x:c r="E89" s="33" t="str">
        <x:v>RCM tax payment / ITC evidence missing</x:v>
      </x:c>
      <x:c r="F89" s="33" t="str">
        <x:v>GST</x:v>
      </x:c>
      <x:c r="G89" s="34" t="n">
        <x:v>49500</x:v>
      </x:c>
      <x:c r="H89" s="33" t="str">
        <x:v>High risk</x:v>
      </x:c>
      <x:c r="I89" s="33" t="str">
        <x:v>Pay RCM GST in cash, retain payment evidence and verify ITC claim.</x:v>
      </x:c>
      <x:c r="J89" s="33" t="str">
        <x:v>GST team</x:v>
      </x:c>
      <x:c r="K89" s="33" t="str">
        <x:v>Open</x:v>
      </x:c>
    </x:row>
    <x:row r="90">
      <x:c r="A90" s="33" t="str">
        <x:v>EX-089</x:v>
      </x:c>
      <x:c r="B90" s="33" t="str">
        <x:v>INV-023</x:v>
      </x:c>
      <x:c r="C90" s="33" t="str">
        <x:v>Shield Guard Security Services (Prop.</x:v>
      </x:c>
      <x:c r="D90" s="33" t="str">
        <x:v>SGS/09/2026</x:v>
      </x:c>
      <x:c r="E90" s="33" t="str">
        <x:v>GSTIN active-status evidence missing</x:v>
      </x:c>
      <x:c r="F90" s="33" t="str">
        <x:v>GST</x:v>
      </x:c>
      <x:c r="G90" s="34" t="n">
        <x:v>88000</x:v>
      </x:c>
      <x:c r="H90" s="33" t="str">
        <x:v>Needs attention</x:v>
      </x:c>
      <x:c r="I90" s="33" t="str">
        <x:v>Check GST portal registration status and effective date.</x:v>
      </x:c>
      <x:c r="J90" s="33" t="str">
        <x:v>Tax team</x:v>
      </x:c>
      <x:c r="K90" s="33" t="str">
        <x:v>Open</x:v>
      </x:c>
    </x:row>
    <x:row r="91">
      <x:c r="A91" s="33" t="str">
        <x:v>EX-090</x:v>
      </x:c>
      <x:c r="B91" s="33" t="str">
        <x:v>INV-023</x:v>
      </x:c>
      <x:c r="C91" s="33" t="str">
        <x:v>Shield Guard Security Services (Prop.</x:v>
      </x:c>
      <x:c r="D91" s="33" t="str">
        <x:v>SGS/09/2026</x:v>
      </x:c>
      <x:c r="E91" s="33" t="str">
        <x:v>GSTR-2B reconciliation not evidenced</x:v>
      </x:c>
      <x:c r="F91" s="33" t="str">
        <x:v>GST</x:v>
      </x:c>
      <x:c r="G91" s="34" t="n">
        <x:v>0</x:v>
      </x:c>
      <x:c r="H91" s="33" t="str">
        <x:v>Needs attention</x:v>
      </x:c>
      <x:c r="I91" s="33" t="str">
        <x:v>Reconcile invoice and ITC eligibility to GSTR-2B; retain export.</x:v>
      </x:c>
      <x:c r="J91" s="33" t="str">
        <x:v>GST team</x:v>
      </x:c>
      <x:c r="K91" s="33" t="str">
        <x:v>Open</x:v>
      </x:c>
    </x:row>
    <x:row r="92">
      <x:c r="A92" s="33" t="str">
        <x:v>EX-091</x:v>
      </x:c>
      <x:c r="B92" s="33" t="str">
        <x:v>INV-023</x:v>
      </x:c>
      <x:c r="C92" s="33" t="str">
        <x:v>Shield Guard Security Services (Prop.</x:v>
      </x:c>
      <x:c r="D92" s="33" t="str">
        <x:v>SGS/09/2026</x:v>
      </x:c>
      <x:c r="E92" s="33" t="str">
        <x:v>Payment date / bank evidence missing</x:v>
      </x:c>
      <x:c r="F92" s="33" t="str">
        <x:v>GST / MSME</x:v>
      </x:c>
      <x:c r="G92" s="34" t="n">
        <x:v>88000</x:v>
      </x:c>
      <x:c r="H92" s="33" t="str">
        <x:v>Needs attention</x:v>
      </x:c>
      <x:c r="I92" s="33" t="str">
        <x:v>Enter payment date and bank reference; test 180-day ITC and 45-day MSME clocks.</x:v>
      </x:c>
      <x:c r="J92" s="33" t="str">
        <x:v>AP team</x:v>
      </x:c>
      <x:c r="K92" s="33" t="str">
        <x:v>Open</x:v>
      </x:c>
    </x:row>
    <x:row r="93">
      <x:c r="A93" s="33" t="str">
        <x:v>EX-092</x:v>
      </x:c>
      <x:c r="B93" s="33" t="str">
        <x:v>INV-023</x:v>
      </x:c>
      <x:c r="C93" s="33" t="str">
        <x:v>Shield Guard Security Services (Prop.</x:v>
      </x:c>
      <x:c r="D93" s="33" t="str">
        <x:v>SGS/09/2026</x:v>
      </x:c>
      <x:c r="E93" s="33" t="str">
        <x:v>TDS deduction, deposit and return evidence missing (194C)</x:v>
      </x:c>
      <x:c r="F93" s="33" t="str">
        <x:v>TDS</x:v>
      </x:c>
      <x:c r="G93" s="34" t="n">
        <x:v>88000</x:v>
      </x:c>
      <x:c r="H93" s="33" t="str">
        <x:v>Needs attention</x:v>
      </x:c>
      <x:c r="I93" s="33" t="str">
        <x:v>Confirm payee constitution; individual/HUF rate may be 1%</x:v>
      </x:c>
      <x:c r="J93" s="33" t="str">
        <x:v>TDS team</x:v>
      </x:c>
      <x:c r="K93" s="33" t="str">
        <x:v>Open</x:v>
      </x:c>
    </x:row>
    <x:row r="94">
      <x:c r="A94" s="33" t="str">
        <x:v>EX-093</x:v>
      </x:c>
      <x:c r="B94" s="33" t="str">
        <x:v>INV-023</x:v>
      </x:c>
      <x:c r="C94" s="33" t="str">
        <x:v>Shield Guard Security Services (Prop.</x:v>
      </x:c>
      <x:c r="D94" s="33" t="str">
        <x:v>SGS/09/2026</x:v>
      </x:c>
      <x:c r="E94" s="33" t="str">
        <x:v>RCM tax payment / ITC evidence missing</x:v>
      </x:c>
      <x:c r="F94" s="33" t="str">
        <x:v>GST</x:v>
      </x:c>
      <x:c r="G94" s="34" t="n">
        <x:v>15840</x:v>
      </x:c>
      <x:c r="H94" s="33" t="str">
        <x:v>High risk</x:v>
      </x:c>
      <x:c r="I94" s="33" t="str">
        <x:v>Pay RCM GST in cash, retain payment evidence and verify ITC claim.</x:v>
      </x:c>
      <x:c r="J94" s="33" t="str">
        <x:v>GST team</x:v>
      </x:c>
      <x:c r="K94" s="33" t="str">
        <x:v>Open</x:v>
      </x:c>
    </x:row>
    <x:row r="95">
      <x:c r="A95" s="33" t="str">
        <x:v>EX-094</x:v>
      </x:c>
      <x:c r="B95" s="33" t="str">
        <x:v>INV-024</x:v>
      </x:c>
      <x:c r="C95" s="33" t="str">
        <x:v>Vigilant Protection Services Private Limited</x:v>
      </x:c>
      <x:c r="D95" s="33" t="str">
        <x:v>VPS/HR/2627/0730</x:v>
      </x:c>
      <x:c r="E95" s="33" t="str">
        <x:v>GSTIN active-status evidence missing</x:v>
      </x:c>
      <x:c r="F95" s="33" t="str">
        <x:v>GST</x:v>
      </x:c>
      <x:c r="G95" s="34" t="n">
        <x:v>193520</x:v>
      </x:c>
      <x:c r="H95" s="33" t="str">
        <x:v>Needs attention</x:v>
      </x:c>
      <x:c r="I95" s="33" t="str">
        <x:v>Check GST portal registration status and effective date.</x:v>
      </x:c>
      <x:c r="J95" s="33" t="str">
        <x:v>Tax team</x:v>
      </x:c>
      <x:c r="K95" s="33" t="str">
        <x:v>Open</x:v>
      </x:c>
    </x:row>
    <x:row r="96">
      <x:c r="A96" s="33" t="str">
        <x:v>EX-095</x:v>
      </x:c>
      <x:c r="B96" s="33" t="str">
        <x:v>INV-024</x:v>
      </x:c>
      <x:c r="C96" s="33" t="str">
        <x:v>Vigilant Protection Services Private Limited</x:v>
      </x:c>
      <x:c r="D96" s="33" t="str">
        <x:v>VPS/HR/2627/0730</x:v>
      </x:c>
      <x:c r="E96" s="33" t="str">
        <x:v>GSTR-2B reconciliation not evidenced</x:v>
      </x:c>
      <x:c r="F96" s="33" t="str">
        <x:v>GST</x:v>
      </x:c>
      <x:c r="G96" s="34" t="n">
        <x:v>29520</x:v>
      </x:c>
      <x:c r="H96" s="33" t="str">
        <x:v>Needs attention</x:v>
      </x:c>
      <x:c r="I96" s="33" t="str">
        <x:v>Reconcile invoice and ITC eligibility to GSTR-2B; retain export.</x:v>
      </x:c>
      <x:c r="J96" s="33" t="str">
        <x:v>GST team</x:v>
      </x:c>
      <x:c r="K96" s="33" t="str">
        <x:v>Open</x:v>
      </x:c>
    </x:row>
    <x:row r="97">
      <x:c r="A97" s="33" t="str">
        <x:v>EX-096</x:v>
      </x:c>
      <x:c r="B97" s="33" t="str">
        <x:v>INV-024</x:v>
      </x:c>
      <x:c r="C97" s="33" t="str">
        <x:v>Vigilant Protection Services Private Limited</x:v>
      </x:c>
      <x:c r="D97" s="33" t="str">
        <x:v>VPS/HR/2627/0730</x:v>
      </x:c>
      <x:c r="E97" s="33" t="str">
        <x:v>Payment date / bank evidence missing</x:v>
      </x:c>
      <x:c r="F97" s="33" t="str">
        <x:v>GST / MSME</x:v>
      </x:c>
      <x:c r="G97" s="34" t="n">
        <x:v>193520</x:v>
      </x:c>
      <x:c r="H97" s="33" t="str">
        <x:v>Needs attention</x:v>
      </x:c>
      <x:c r="I97" s="33" t="str">
        <x:v>Enter payment date and bank reference; test 180-day ITC and 45-day MSME clocks.</x:v>
      </x:c>
      <x:c r="J97" s="33" t="str">
        <x:v>AP team</x:v>
      </x:c>
      <x:c r="K97" s="33" t="str">
        <x:v>Open</x:v>
      </x:c>
    </x:row>
    <x:row r="98">
      <x:c r="A98" s="33" t="str">
        <x:v>EX-097</x:v>
      </x:c>
      <x:c r="B98" s="33" t="str">
        <x:v>INV-024</x:v>
      </x:c>
      <x:c r="C98" s="33" t="str">
        <x:v>Vigilant Protection Services Private Limited</x:v>
      </x:c>
      <x:c r="D98" s="33" t="str">
        <x:v>VPS/HR/2627/0730</x:v>
      </x:c>
      <x:c r="E98" s="33" t="str">
        <x:v>TDS deduction, deposit and return evidence missing (194C)</x:v>
      </x:c>
      <x:c r="F98" s="33" t="str">
        <x:v>TDS</x:v>
      </x:c>
      <x:c r="G98" s="34" t="n">
        <x:v>164000</x:v>
      </x:c>
      <x:c r="H98" s="33" t="str">
        <x:v>Needs attention</x:v>
      </x:c>
      <x:c r="I98" s="33" t="str">
        <x:v>Confirm payee constitution; individual/HUF rate may be 1%</x:v>
      </x:c>
      <x:c r="J98" s="33" t="str">
        <x:v>TDS team</x:v>
      </x:c>
      <x:c r="K98" s="33" t="str">
        <x:v>Open</x:v>
      </x:c>
    </x:row>
    <x:row r="99">
      <x:c r="A99" s="33" t="str">
        <x:v>EX-098</x:v>
      </x:c>
      <x:c r="B99" s="33" t="str">
        <x:v>INV-025</x:v>
      </x:c>
      <x:c r="C99" s="33" t="str">
        <x:v>Dr. Anil Khanna (Independent Director)</x:v>
      </x:c>
      <x:c r="D99" s="33" t="str">
        <x:v>AK/SF/Q2</x:v>
      </x:c>
      <x:c r="E99" s="33" t="str">
        <x:v>GSTIN active-status evidence missing</x:v>
      </x:c>
      <x:c r="F99" s="33" t="str">
        <x:v>GST</x:v>
      </x:c>
      <x:c r="G99" s="34" t="n">
        <x:v>80000</x:v>
      </x:c>
      <x:c r="H99" s="33" t="str">
        <x:v>Needs attention</x:v>
      </x:c>
      <x:c r="I99" s="33" t="str">
        <x:v>Check GST portal registration status and effective date.</x:v>
      </x:c>
      <x:c r="J99" s="33" t="str">
        <x:v>Tax team</x:v>
      </x:c>
      <x:c r="K99" s="33" t="str">
        <x:v>Open</x:v>
      </x:c>
    </x:row>
    <x:row r="100">
      <x:c r="A100" s="33" t="str">
        <x:v>EX-099</x:v>
      </x:c>
      <x:c r="B100" s="33" t="str">
        <x:v>INV-025</x:v>
      </x:c>
      <x:c r="C100" s="33" t="str">
        <x:v>Dr. Anil Khanna (Independent Director)</x:v>
      </x:c>
      <x:c r="D100" s="33" t="str">
        <x:v>AK/SF/Q2</x:v>
      </x:c>
      <x:c r="E100" s="33" t="str">
        <x:v>GSTR-2B reconciliation not evidenced</x:v>
      </x:c>
      <x:c r="F100" s="33" t="str">
        <x:v>GST</x:v>
      </x:c>
      <x:c r="G100" s="34" t="n">
        <x:v>0</x:v>
      </x:c>
      <x:c r="H100" s="33" t="str">
        <x:v>Needs attention</x:v>
      </x:c>
      <x:c r="I100" s="33" t="str">
        <x:v>Reconcile invoice and ITC eligibility to GSTR-2B; retain export.</x:v>
      </x:c>
      <x:c r="J100" s="33" t="str">
        <x:v>GST team</x:v>
      </x:c>
      <x:c r="K100" s="33" t="str">
        <x:v>Open</x:v>
      </x:c>
    </x:row>
    <x:row r="101">
      <x:c r="A101" s="33" t="str">
        <x:v>EX-100</x:v>
      </x:c>
      <x:c r="B101" s="33" t="str">
        <x:v>INV-025</x:v>
      </x:c>
      <x:c r="C101" s="33" t="str">
        <x:v>Dr. Anil Khanna (Independent Director)</x:v>
      </x:c>
      <x:c r="D101" s="33" t="str">
        <x:v>AK/SF/Q2</x:v>
      </x:c>
      <x:c r="E101" s="33" t="str">
        <x:v>Payment date / bank evidence missing</x:v>
      </x:c>
      <x:c r="F101" s="33" t="str">
        <x:v>GST / MSME</x:v>
      </x:c>
      <x:c r="G101" s="34" t="n">
        <x:v>80000</x:v>
      </x:c>
      <x:c r="H101" s="33" t="str">
        <x:v>Needs attention</x:v>
      </x:c>
      <x:c r="I101" s="33" t="str">
        <x:v>Enter payment date and bank reference; test 180-day ITC and 45-day MSME clocks.</x:v>
      </x:c>
      <x:c r="J101" s="33" t="str">
        <x:v>AP team</x:v>
      </x:c>
      <x:c r="K101" s="33" t="str">
        <x:v>Open</x:v>
      </x:c>
    </x:row>
    <x:row r="102">
      <x:c r="A102" s="33" t="str">
        <x:v>EX-101</x:v>
      </x:c>
      <x:c r="B102" s="33" t="str">
        <x:v>INV-025</x:v>
      </x:c>
      <x:c r="C102" s="33" t="str">
        <x:v>Dr. Anil Khanna (Independent Director)</x:v>
      </x:c>
      <x:c r="D102" s="33" t="str">
        <x:v>AK/SF/Q2</x:v>
      </x:c>
      <x:c r="E102" s="33" t="str">
        <x:v>RCM tax payment / ITC evidence missing</x:v>
      </x:c>
      <x:c r="F102" s="33" t="str">
        <x:v>GST</x:v>
      </x:c>
      <x:c r="G102" s="34" t="n">
        <x:v>0</x:v>
      </x:c>
      <x:c r="H102" s="33" t="str">
        <x:v>High risk</x:v>
      </x:c>
      <x:c r="I102" s="33" t="str">
        <x:v>Pay RCM GST in cash, retain payment evidence and verify ITC claim.</x:v>
      </x:c>
      <x:c r="J102" s="33" t="str">
        <x:v>GST team</x:v>
      </x:c>
      <x:c r="K102" s="33" t="str">
        <x:v>Open</x:v>
      </x:c>
    </x:row>
    <x:row r="103">
      <x:c r="A103" s="33" t="str">
        <x:v>EX-102</x:v>
      </x:c>
      <x:c r="B103" s="33" t="str">
        <x:v>INV-026</x:v>
      </x:c>
      <x:c r="C103" s="33" t="str">
        <x:v>Sea Breeze Resort Private Limited</x:v>
      </x:c>
      <x:c r="D103" s="33" t="str">
        <x:v>SBR/GOA/26/4471</x:v>
      </x:c>
      <x:c r="E103" s="33" t="str">
        <x:v>GSTIN active-status evidence missing</x:v>
      </x:c>
      <x:c r="F103" s="33" t="str">
        <x:v>GST</x:v>
      </x:c>
      <x:c r="G103" s="34" t="n">
        <x:v>27300</x:v>
      </x:c>
      <x:c r="H103" s="33" t="str">
        <x:v>Needs attention</x:v>
      </x:c>
      <x:c r="I103" s="33" t="str">
        <x:v>Check GST portal registration status and effective date.</x:v>
      </x:c>
      <x:c r="J103" s="33" t="str">
        <x:v>Tax team</x:v>
      </x:c>
      <x:c r="K103" s="33" t="str">
        <x:v>Open</x:v>
      </x:c>
    </x:row>
    <x:row r="104">
      <x:c r="A104" s="33" t="str">
        <x:v>EX-103</x:v>
      </x:c>
      <x:c r="B104" s="33" t="str">
        <x:v>INV-026</x:v>
      </x:c>
      <x:c r="C104" s="33" t="str">
        <x:v>Sea Breeze Resort Private Limited</x:v>
      </x:c>
      <x:c r="D104" s="33" t="str">
        <x:v>SBR/GOA/26/4471</x:v>
      </x:c>
      <x:c r="E104" s="33" t="str">
        <x:v>GSTR-2B reconciliation not evidenced</x:v>
      </x:c>
      <x:c r="F104" s="33" t="str">
        <x:v>GST</x:v>
      </x:c>
      <x:c r="G104" s="34" t="n">
        <x:v>1300</x:v>
      </x:c>
      <x:c r="H104" s="33" t="str">
        <x:v>Needs attention</x:v>
      </x:c>
      <x:c r="I104" s="33" t="str">
        <x:v>Reconcile invoice and ITC eligibility to GSTR-2B; retain export.</x:v>
      </x:c>
      <x:c r="J104" s="33" t="str">
        <x:v>GST team</x:v>
      </x:c>
      <x:c r="K104" s="33" t="str">
        <x:v>Open</x:v>
      </x:c>
    </x:row>
    <x:row r="105">
      <x:c r="A105" s="33" t="str">
        <x:v>EX-104</x:v>
      </x:c>
      <x:c r="B105" s="33" t="str">
        <x:v>INV-026</x:v>
      </x:c>
      <x:c r="C105" s="33" t="str">
        <x:v>Sea Breeze Resort Private Limited</x:v>
      </x:c>
      <x:c r="D105" s="33" t="str">
        <x:v>SBR/GOA/26/4471</x:v>
      </x:c>
      <x:c r="E105" s="33" t="str">
        <x:v>Payment date / bank evidence missing</x:v>
      </x:c>
      <x:c r="F105" s="33" t="str">
        <x:v>GST / MSME</x:v>
      </x:c>
      <x:c r="G105" s="34" t="n">
        <x:v>27300</x:v>
      </x:c>
      <x:c r="H105" s="33" t="str">
        <x:v>Needs attention</x:v>
      </x:c>
      <x:c r="I105" s="33" t="str">
        <x:v>Enter payment date and bank reference; test 180-day ITC and 45-day MSME clocks.</x:v>
      </x:c>
      <x:c r="J105" s="33" t="str">
        <x:v>AP team</x:v>
      </x:c>
      <x:c r="K105" s="33" t="str">
        <x:v>Open</x:v>
      </x:c>
    </x:row>
    <x:row r="106">
      <x:c r="A106" s="33" t="str">
        <x:v>EX-105</x:v>
      </x:c>
      <x:c r="B106" s="33" t="str">
        <x:v>INV-026</x:v>
      </x:c>
      <x:c r="C106" s="33" t="str">
        <x:v>Sea Breeze Resort Private Limited</x:v>
      </x:c>
      <x:c r="D106" s="33" t="str">
        <x:v>SBR/GOA/26/4471</x:v>
      </x:c>
      <x:c r="E106" s="33" t="str">
        <x:v>TDS deduction, deposit and return evidence missing (194Q)</x:v>
      </x:c>
      <x:c r="F106" s="33" t="str">
        <x:v>TDS</x:v>
      </x:c>
      <x:c r="G106" s="34" t="n">
        <x:v>26000</x:v>
      </x:c>
      <x:c r="H106" s="33" t="str">
        <x:v>Needs attention</x:v>
      </x:c>
      <x:c r="I106" s="33" t="str">
        <x:v>Apply only if buyer conditions and annual purchases threshold are met</x:v>
      </x:c>
      <x:c r="J106" s="33" t="str">
        <x:v>TDS team</x:v>
      </x:c>
      <x:c r="K106" s="33" t="str">
        <x:v>Open</x:v>
      </x:c>
    </x:row>
    <x:row r="107">
      <x:c r="A107" s="33" t="str">
        <x:v>EX-106</x:v>
      </x:c>
      <x:c r="B107" s="33" t="str">
        <x:v>INV-027</x:v>
      </x:c>
      <x:c r="C107" s="33" t="str">
        <x:v>Eventique Experiences Private Limited</x:v>
      </x:c>
      <x:c r="D107" s="33" t="str">
        <x:v>EVQ/2627/0062</x:v>
      </x:c>
      <x:c r="E107" s="33" t="str">
        <x:v>GSTIN active-status evidence missing</x:v>
      </x:c>
      <x:c r="F107" s="33" t="str">
        <x:v>GST</x:v>
      </x:c>
      <x:c r="G107" s="34" t="n">
        <x:v>802400</x:v>
      </x:c>
      <x:c r="H107" s="33" t="str">
        <x:v>Needs attention</x:v>
      </x:c>
      <x:c r="I107" s="33" t="str">
        <x:v>Check GST portal registration status and effective date.</x:v>
      </x:c>
      <x:c r="J107" s="33" t="str">
        <x:v>Tax team</x:v>
      </x:c>
      <x:c r="K107" s="33" t="str">
        <x:v>Open</x:v>
      </x:c>
    </x:row>
    <x:row r="108">
      <x:c r="A108" s="33" t="str">
        <x:v>EX-107</x:v>
      </x:c>
      <x:c r="B108" s="33" t="str">
        <x:v>INV-027</x:v>
      </x:c>
      <x:c r="C108" s="33" t="str">
        <x:v>Eventique Experiences Private Limited</x:v>
      </x:c>
      <x:c r="D108" s="33" t="str">
        <x:v>EVQ/2627/0062</x:v>
      </x:c>
      <x:c r="E108" s="33" t="str">
        <x:v>GSTR-2B reconciliation not evidenced</x:v>
      </x:c>
      <x:c r="F108" s="33" t="str">
        <x:v>GST</x:v>
      </x:c>
      <x:c r="G108" s="34" t="n">
        <x:v>122400</x:v>
      </x:c>
      <x:c r="H108" s="33" t="str">
        <x:v>Needs attention</x:v>
      </x:c>
      <x:c r="I108" s="33" t="str">
        <x:v>Reconcile invoice and ITC eligibility to GSTR-2B; retain export.</x:v>
      </x:c>
      <x:c r="J108" s="33" t="str">
        <x:v>GST team</x:v>
      </x:c>
      <x:c r="K108" s="33" t="str">
        <x:v>Open</x:v>
      </x:c>
    </x:row>
    <x:row r="109">
      <x:c r="A109" s="33" t="str">
        <x:v>EX-108</x:v>
      </x:c>
      <x:c r="B109" s="33" t="str">
        <x:v>INV-027</x:v>
      </x:c>
      <x:c r="C109" s="33" t="str">
        <x:v>Eventique Experiences Private Limited</x:v>
      </x:c>
      <x:c r="D109" s="33" t="str">
        <x:v>EVQ/2627/0062</x:v>
      </x:c>
      <x:c r="E109" s="33" t="str">
        <x:v>Payment date / bank evidence missing</x:v>
      </x:c>
      <x:c r="F109" s="33" t="str">
        <x:v>GST / MSME</x:v>
      </x:c>
      <x:c r="G109" s="34" t="n">
        <x:v>802400</x:v>
      </x:c>
      <x:c r="H109" s="33" t="str">
        <x:v>Needs attention</x:v>
      </x:c>
      <x:c r="I109" s="33" t="str">
        <x:v>Enter payment date and bank reference; test 180-day ITC and 45-day MSME clocks.</x:v>
      </x:c>
      <x:c r="J109" s="33" t="str">
        <x:v>AP team</x:v>
      </x:c>
      <x:c r="K109" s="33" t="str">
        <x:v>Open</x:v>
      </x:c>
    </x:row>
    <x:row r="110">
      <x:c r="A110" s="33" t="str">
        <x:v>EX-109</x:v>
      </x:c>
      <x:c r="B110" s="33" t="str">
        <x:v>INV-027</x:v>
      </x:c>
      <x:c r="C110" s="33" t="str">
        <x:v>Eventique Experiences Private Limited</x:v>
      </x:c>
      <x:c r="D110" s="33" t="str">
        <x:v>EVQ/2627/0062</x:v>
      </x:c>
      <x:c r="E110" s="33" t="str">
        <x:v>TDS deduction, deposit and return evidence missing (194C)</x:v>
      </x:c>
      <x:c r="F110" s="33" t="str">
        <x:v>TDS</x:v>
      </x:c>
      <x:c r="G110" s="34" t="n">
        <x:v>680000</x:v>
      </x:c>
      <x:c r="H110" s="33" t="str">
        <x:v>Needs attention</x:v>
      </x:c>
      <x:c r="I110" s="33" t="str">
        <x:v>Confirm payee constitution; individual/HUF rate may be 1%</x:v>
      </x:c>
      <x:c r="J110" s="33" t="str">
        <x:v>TDS team</x:v>
      </x:c>
      <x:c r="K110" s="33" t="str">
        <x:v>Open</x:v>
      </x:c>
    </x:row>
    <x:row r="111">
      <x:c r="A111" s="33" t="str">
        <x:v>EX-110</x:v>
      </x:c>
      <x:c r="B111" s="33" t="str">
        <x:v>INV-028</x:v>
      </x:c>
      <x:c r="C111" s="33" t="str">
        <x:v>Pooja Bansal &amp; Co., Company Secretaries</x:v>
      </x:c>
      <x:c r="D111" s="33" t="str">
        <x:v>PBC/CS/26-27/011</x:v>
      </x:c>
      <x:c r="E111" s="33" t="str">
        <x:v>GSTIN active-status evidence missing</x:v>
      </x:c>
      <x:c r="F111" s="33" t="str">
        <x:v>GST</x:v>
      </x:c>
      <x:c r="G111" s="34" t="n">
        <x:v>141600</x:v>
      </x:c>
      <x:c r="H111" s="33" t="str">
        <x:v>Needs attention</x:v>
      </x:c>
      <x:c r="I111" s="33" t="str">
        <x:v>Check GST portal registration status and effective date.</x:v>
      </x:c>
      <x:c r="J111" s="33" t="str">
        <x:v>Tax team</x:v>
      </x:c>
      <x:c r="K111" s="33" t="str">
        <x:v>Open</x:v>
      </x:c>
    </x:row>
    <x:row r="112">
      <x:c r="A112" s="33" t="str">
        <x:v>EX-111</x:v>
      </x:c>
      <x:c r="B112" s="33" t="str">
        <x:v>INV-028</x:v>
      </x:c>
      <x:c r="C112" s="33" t="str">
        <x:v>Pooja Bansal &amp; Co., Company Secretaries</x:v>
      </x:c>
      <x:c r="D112" s="33" t="str">
        <x:v>PBC/CS/26-27/011</x:v>
      </x:c>
      <x:c r="E112" s="33" t="str">
        <x:v>GSTR-2B reconciliation not evidenced</x:v>
      </x:c>
      <x:c r="F112" s="33" t="str">
        <x:v>GST</x:v>
      </x:c>
      <x:c r="G112" s="34" t="n">
        <x:v>21600</x:v>
      </x:c>
      <x:c r="H112" s="33" t="str">
        <x:v>Needs attention</x:v>
      </x:c>
      <x:c r="I112" s="33" t="str">
        <x:v>Reconcile invoice and ITC eligibility to GSTR-2B; retain export.</x:v>
      </x:c>
      <x:c r="J112" s="33" t="str">
        <x:v>GST team</x:v>
      </x:c>
      <x:c r="K112" s="33" t="str">
        <x:v>Open</x:v>
      </x:c>
    </x:row>
    <x:row r="113">
      <x:c r="A113" s="33" t="str">
        <x:v>EX-112</x:v>
      </x:c>
      <x:c r="B113" s="33" t="str">
        <x:v>INV-028</x:v>
      </x:c>
      <x:c r="C113" s="33" t="str">
        <x:v>Pooja Bansal &amp; Co., Company Secretaries</x:v>
      </x:c>
      <x:c r="D113" s="33" t="str">
        <x:v>PBC/CS/26-27/011</x:v>
      </x:c>
      <x:c r="E113" s="33" t="str">
        <x:v>Payment date / bank evidence missing</x:v>
      </x:c>
      <x:c r="F113" s="33" t="str">
        <x:v>GST / MSME</x:v>
      </x:c>
      <x:c r="G113" s="34" t="n">
        <x:v>141600</x:v>
      </x:c>
      <x:c r="H113" s="33" t="str">
        <x:v>Needs attention</x:v>
      </x:c>
      <x:c r="I113" s="33" t="str">
        <x:v>Enter payment date and bank reference; test 180-day ITC and 45-day MSME clocks.</x:v>
      </x:c>
      <x:c r="J113" s="33" t="str">
        <x:v>AP team</x:v>
      </x:c>
      <x:c r="K113" s="33" t="str">
        <x:v>Open</x:v>
      </x:c>
    </x:row>
    <x:row r="114">
      <x:c r="A114" s="33" t="str">
        <x:v>EX-113</x:v>
      </x:c>
      <x:c r="B114" s="33" t="str">
        <x:v>INV-028</x:v>
      </x:c>
      <x:c r="C114" s="33" t="str">
        <x:v>Pooja Bansal &amp; Co., Company Secretaries</x:v>
      </x:c>
      <x:c r="D114" s="33" t="str">
        <x:v>PBC/CS/26-27/011</x:v>
      </x:c>
      <x:c r="E114" s="33" t="str">
        <x:v>TDS deduction, deposit and return evidence missing (194J)</x:v>
      </x:c>
      <x:c r="F114" s="33" t="str">
        <x:v>TDS</x:v>
      </x:c>
      <x:c r="G114" s="34" t="n">
        <x:v>120000</x:v>
      </x:c>
      <x:c r="H114" s="33" t="str">
        <x:v>Needs attention</x:v>
      </x:c>
      <x:c r="I114" s="33" t="str">
        <x:v>Classify professional vs technical and confirm rate</x:v>
      </x:c>
      <x:c r="J114" s="33" t="str">
        <x:v>TDS team</x:v>
      </x:c>
      <x:c r="K114" s="33" t="str">
        <x:v>Open</x:v>
      </x:c>
    </x:row>
    <x:row r="115">
      <x:c r="A115" s="33" t="str">
        <x:v>EX-114</x:v>
      </x:c>
      <x:c r="B115" s="33" t="str">
        <x:v>INV-029</x:v>
      </x:c>
      <x:c r="C115" s="33" t="str">
        <x:v>MeetSphere Inc.</x:v>
      </x:c>
      <x:c r="D115" s="33" t="str">
        <x:v>MS-INV-2026-118842</x:v>
      </x:c>
      <x:c r="E115" s="33" t="str">
        <x:v>GSTIN active-status evidence missing</x:v>
      </x:c>
      <x:c r="F115" s="33" t="str">
        <x:v>GST</x:v>
      </x:c>
      <x:c r="G115" s="34" t="n">
        <x:v>0</x:v>
      </x:c>
      <x:c r="H115" s="33" t="str">
        <x:v>Needs attention</x:v>
      </x:c>
      <x:c r="I115" s="33" t="str">
        <x:v>Check GST portal registration status and effective date.</x:v>
      </x:c>
      <x:c r="J115" s="33" t="str">
        <x:v>Tax team</x:v>
      </x:c>
      <x:c r="K115" s="33" t="str">
        <x:v>Open</x:v>
      </x:c>
    </x:row>
    <x:row r="116">
      <x:c r="A116" s="33" t="str">
        <x:v>EX-115</x:v>
      </x:c>
      <x:c r="B116" s="33" t="str">
        <x:v>INV-029</x:v>
      </x:c>
      <x:c r="C116" s="33" t="str">
        <x:v>MeetSphere Inc.</x:v>
      </x:c>
      <x:c r="D116" s="33" t="str">
        <x:v>MS-INV-2026-118842</x:v>
      </x:c>
      <x:c r="E116" s="33" t="str">
        <x:v>GSTR-2B reconciliation not evidenced</x:v>
      </x:c>
      <x:c r="F116" s="33" t="str">
        <x:v>GST</x:v>
      </x:c>
      <x:c r="G116" s="34" t="n">
        <x:v>0</x:v>
      </x:c>
      <x:c r="H116" s="33" t="str">
        <x:v>Needs attention</x:v>
      </x:c>
      <x:c r="I116" s="33" t="str">
        <x:v>Reconcile invoice and ITC eligibility to GSTR-2B; retain export.</x:v>
      </x:c>
      <x:c r="J116" s="33" t="str">
        <x:v>GST team</x:v>
      </x:c>
      <x:c r="K116" s="33" t="str">
        <x:v>Open</x:v>
      </x:c>
    </x:row>
    <x:row r="117">
      <x:c r="A117" s="33" t="str">
        <x:v>EX-116</x:v>
      </x:c>
      <x:c r="B117" s="33" t="str">
        <x:v>INV-029</x:v>
      </x:c>
      <x:c r="C117" s="33" t="str">
        <x:v>MeetSphere Inc.</x:v>
      </x:c>
      <x:c r="D117" s="33" t="str">
        <x:v>MS-INV-2026-118842</x:v>
      </x:c>
      <x:c r="E117" s="33" t="str">
        <x:v>Payment date / bank evidence missing</x:v>
      </x:c>
      <x:c r="F117" s="33" t="str">
        <x:v>GST / MSME</x:v>
      </x:c>
      <x:c r="G117" s="34" t="n">
        <x:v>0</x:v>
      </x:c>
      <x:c r="H117" s="33" t="str">
        <x:v>Needs attention</x:v>
      </x:c>
      <x:c r="I117" s="33" t="str">
        <x:v>Enter payment date and bank reference; test 180-day ITC and 45-day MSME clocks.</x:v>
      </x:c>
      <x:c r="J117" s="33" t="str">
        <x:v>AP team</x:v>
      </x:c>
      <x:c r="K117" s="33" t="str">
        <x:v>Open</x:v>
      </x:c>
    </x:row>
    <x:row r="118">
      <x:c r="A118" s="33" t="str">
        <x:v>EX-117</x:v>
      </x:c>
      <x:c r="B118" s="33" t="str">
        <x:v>INV-029</x:v>
      </x:c>
      <x:c r="C118" s="33" t="str">
        <x:v>MeetSphere Inc.</x:v>
      </x:c>
      <x:c r="D118" s="33" t="str">
        <x:v>MS-INV-2026-118842</x:v>
      </x:c>
      <x:c r="E118" s="33" t="str">
        <x:v>TDS deduction, deposit and return evidence missing (195)</x:v>
      </x:c>
      <x:c r="F118" s="33" t="str">
        <x:v>TDS</x:v>
      </x:c>
      <x:c r="G118" s="34" t="n">
        <x:v>0</x:v>
      </x:c>
      <x:c r="H118" s="33" t="str">
        <x:v>High risk</x:v>
      </x:c>
      <x:c r="I118" s="33" t="str">
        <x:v>Foreign vendor: obtain tax residency, PE and treaty review</x:v>
      </x:c>
      <x:c r="J118" s="33" t="str">
        <x:v>TDS team</x:v>
      </x:c>
      <x:c r="K118" s="33" t="str">
        <x:v>Open</x:v>
      </x:c>
    </x:row>
    <x:row r="119">
      <x:c r="A119" s="33" t="str">
        <x:v>EX-118</x:v>
      </x:c>
      <x:c r="B119" s="33" t="str">
        <x:v>INV-030</x:v>
      </x:c>
      <x:c r="C119" s="33" t="str">
        <x:v>Kodex Software Ltd</x:v>
      </x:c>
      <x:c r="D119" s="33" t="str">
        <x:v>KDX-2026-0451</x:v>
      </x:c>
      <x:c r="E119" s="33" t="str">
        <x:v>GSTIN active-status evidence missing</x:v>
      </x:c>
      <x:c r="F119" s="33" t="str">
        <x:v>GST</x:v>
      </x:c>
      <x:c r="G119" s="34" t="n">
        <x:v>0</x:v>
      </x:c>
      <x:c r="H119" s="33" t="str">
        <x:v>Needs attention</x:v>
      </x:c>
      <x:c r="I119" s="33" t="str">
        <x:v>Check GST portal registration status and effective date.</x:v>
      </x:c>
      <x:c r="J119" s="33" t="str">
        <x:v>Tax team</x:v>
      </x:c>
      <x:c r="K119" s="33" t="str">
        <x:v>Open</x:v>
      </x:c>
    </x:row>
    <x:row r="120">
      <x:c r="A120" s="33" t="str">
        <x:v>EX-119</x:v>
      </x:c>
      <x:c r="B120" s="33" t="str">
        <x:v>INV-030</x:v>
      </x:c>
      <x:c r="C120" s="33" t="str">
        <x:v>Kodex Software Ltd</x:v>
      </x:c>
      <x:c r="D120" s="33" t="str">
        <x:v>KDX-2026-0451</x:v>
      </x:c>
      <x:c r="E120" s="33" t="str">
        <x:v>GSTR-2B reconciliation not evidenced</x:v>
      </x:c>
      <x:c r="F120" s="33" t="str">
        <x:v>GST</x:v>
      </x:c>
      <x:c r="G120" s="34" t="n">
        <x:v>0</x:v>
      </x:c>
      <x:c r="H120" s="33" t="str">
        <x:v>Needs attention</x:v>
      </x:c>
      <x:c r="I120" s="33" t="str">
        <x:v>Reconcile invoice and ITC eligibility to GSTR-2B; retain export.</x:v>
      </x:c>
      <x:c r="J120" s="33" t="str">
        <x:v>GST team</x:v>
      </x:c>
      <x:c r="K120" s="33" t="str">
        <x:v>Open</x:v>
      </x:c>
    </x:row>
    <x:row r="121">
      <x:c r="A121" s="33" t="str">
        <x:v>EX-120</x:v>
      </x:c>
      <x:c r="B121" s="33" t="str">
        <x:v>INV-030</x:v>
      </x:c>
      <x:c r="C121" s="33" t="str">
        <x:v>Kodex Software Ltd</x:v>
      </x:c>
      <x:c r="D121" s="33" t="str">
        <x:v>KDX-2026-0451</x:v>
      </x:c>
      <x:c r="E121" s="33" t="str">
        <x:v>Payment date / bank evidence missing</x:v>
      </x:c>
      <x:c r="F121" s="33" t="str">
        <x:v>GST / MSME</x:v>
      </x:c>
      <x:c r="G121" s="34" t="n">
        <x:v>0</x:v>
      </x:c>
      <x:c r="H121" s="33" t="str">
        <x:v>Needs attention</x:v>
      </x:c>
      <x:c r="I121" s="33" t="str">
        <x:v>Enter payment date and bank reference; test 180-day ITC and 45-day MSME clocks.</x:v>
      </x:c>
      <x:c r="J121" s="33" t="str">
        <x:v>AP team</x:v>
      </x:c>
      <x:c r="K121" s="33" t="str">
        <x:v>Open</x:v>
      </x:c>
    </x:row>
    <x:row r="122">
      <x:c r="A122" s="33" t="str">
        <x:v>EX-121</x:v>
      </x:c>
      <x:c r="B122" s="33" t="str">
        <x:v>INV-030</x:v>
      </x:c>
      <x:c r="C122" s="33" t="str">
        <x:v>Kodex Software Ltd</x:v>
      </x:c>
      <x:c r="D122" s="33" t="str">
        <x:v>KDX-2026-0451</x:v>
      </x:c>
      <x:c r="E122" s="33" t="str">
        <x:v>TDS deduction, deposit and return evidence missing (194J)</x:v>
      </x:c>
      <x:c r="F122" s="33" t="str">
        <x:v>TDS</x:v>
      </x:c>
      <x:c r="G122" s="34" t="n">
        <x:v>0</x:v>
      </x:c>
      <x:c r="H122" s="33" t="str">
        <x:v>Needs attention</x:v>
      </x:c>
      <x:c r="I122" s="33" t="str">
        <x:v>Confirm royalty versus sale of goods / licence</x:v>
      </x:c>
      <x:c r="J122" s="33" t="str">
        <x:v>TDS team</x:v>
      </x:c>
      <x:c r="K122" s="33" t="str">
        <x:v>Open</x:v>
      </x:c>
    </x:row>
    <x:row r="123">
      <x:c r="A123" s="33" t="str">
        <x:v>EX-122</x:v>
      </x:c>
      <x:c r="B123" s="33" t="str">
        <x:v>INV-031</x:v>
      </x:c>
      <x:c r="C123" s="33" t="str">
        <x:v>AdReach Digital India Private Limited</x:v>
      </x:c>
      <x:c r="D123" s="33" t="str">
        <x:v>ARD/KA/26-27/0912</x:v>
      </x:c>
      <x:c r="E123" s="33" t="str">
        <x:v>GSTIN active-status evidence missing</x:v>
      </x:c>
      <x:c r="F123" s="33" t="str">
        <x:v>GST</x:v>
      </x:c>
      <x:c r="G123" s="34" t="n">
        <x:v>413000</x:v>
      </x:c>
      <x:c r="H123" s="33" t="str">
        <x:v>Needs attention</x:v>
      </x:c>
      <x:c r="I123" s="33" t="str">
        <x:v>Check GST portal registration status and effective date.</x:v>
      </x:c>
      <x:c r="J123" s="33" t="str">
        <x:v>Tax team</x:v>
      </x:c>
      <x:c r="K123" s="33" t="str">
        <x:v>Open</x:v>
      </x:c>
    </x:row>
    <x:row r="124">
      <x:c r="A124" s="33" t="str">
        <x:v>EX-123</x:v>
      </x:c>
      <x:c r="B124" s="33" t="str">
        <x:v>INV-031</x:v>
      </x:c>
      <x:c r="C124" s="33" t="str">
        <x:v>AdReach Digital India Private Limited</x:v>
      </x:c>
      <x:c r="D124" s="33" t="str">
        <x:v>ARD/KA/26-27/0912</x:v>
      </x:c>
      <x:c r="E124" s="33" t="str">
        <x:v>GSTR-2B reconciliation not evidenced</x:v>
      </x:c>
      <x:c r="F124" s="33" t="str">
        <x:v>GST</x:v>
      </x:c>
      <x:c r="G124" s="34" t="n">
        <x:v>63000</x:v>
      </x:c>
      <x:c r="H124" s="33" t="str">
        <x:v>Needs attention</x:v>
      </x:c>
      <x:c r="I124" s="33" t="str">
        <x:v>Reconcile invoice and ITC eligibility to GSTR-2B; retain export.</x:v>
      </x:c>
      <x:c r="J124" s="33" t="str">
        <x:v>GST team</x:v>
      </x:c>
      <x:c r="K124" s="33" t="str">
        <x:v>Open</x:v>
      </x:c>
    </x:row>
    <x:row r="125">
      <x:c r="A125" s="33" t="str">
        <x:v>EX-124</x:v>
      </x:c>
      <x:c r="B125" s="33" t="str">
        <x:v>INV-031</x:v>
      </x:c>
      <x:c r="C125" s="33" t="str">
        <x:v>AdReach Digital India Private Limited</x:v>
      </x:c>
      <x:c r="D125" s="33" t="str">
        <x:v>ARD/KA/26-27/0912</x:v>
      </x:c>
      <x:c r="E125" s="33" t="str">
        <x:v>Payment date / bank evidence missing</x:v>
      </x:c>
      <x:c r="F125" s="33" t="str">
        <x:v>GST / MSME</x:v>
      </x:c>
      <x:c r="G125" s="34" t="n">
        <x:v>413000</x:v>
      </x:c>
      <x:c r="H125" s="33" t="str">
        <x:v>Needs attention</x:v>
      </x:c>
      <x:c r="I125" s="33" t="str">
        <x:v>Enter payment date and bank reference; test 180-day ITC and 45-day MSME clocks.</x:v>
      </x:c>
      <x:c r="J125" s="33" t="str">
        <x:v>AP team</x:v>
      </x:c>
      <x:c r="K125" s="33" t="str">
        <x:v>Open</x:v>
      </x:c>
    </x:row>
    <x:row r="126">
      <x:c r="A126" s="33" t="str">
        <x:v>EX-125</x:v>
      </x:c>
      <x:c r="B126" s="33" t="str">
        <x:v>INV-032</x:v>
      </x:c>
      <x:c r="C126" s="33" t="str">
        <x:v>Gupta Stationers (Prop. Mukesh Gupta)</x:v>
      </x:c>
      <x:c r="D126" s="33" t="str">
        <x:v>GS/BOS/0388</x:v>
      </x:c>
      <x:c r="E126" s="33" t="str">
        <x:v>GSTIN active-status evidence missing</x:v>
      </x:c>
      <x:c r="F126" s="33" t="str">
        <x:v>GST</x:v>
      </x:c>
      <x:c r="G126" s="34" t="n">
        <x:v>54900</x:v>
      </x:c>
      <x:c r="H126" s="33" t="str">
        <x:v>Needs attention</x:v>
      </x:c>
      <x:c r="I126" s="33" t="str">
        <x:v>Check GST portal registration status and effective date.</x:v>
      </x:c>
      <x:c r="J126" s="33" t="str">
        <x:v>Tax team</x:v>
      </x:c>
      <x:c r="K126" s="33" t="str">
        <x:v>Open</x:v>
      </x:c>
    </x:row>
    <x:row r="127">
      <x:c r="A127" s="33" t="str">
        <x:v>EX-126</x:v>
      </x:c>
      <x:c r="B127" s="33" t="str">
        <x:v>INV-032</x:v>
      </x:c>
      <x:c r="C127" s="33" t="str">
        <x:v>Gupta Stationers (Prop. Mukesh Gupta)</x:v>
      </x:c>
      <x:c r="D127" s="33" t="str">
        <x:v>GS/BOS/0388</x:v>
      </x:c>
      <x:c r="E127" s="33" t="str">
        <x:v>GSTR-2B reconciliation not evidenced</x:v>
      </x:c>
      <x:c r="F127" s="33" t="str">
        <x:v>GST</x:v>
      </x:c>
      <x:c r="G127" s="34" t="n">
        <x:v>0</x:v>
      </x:c>
      <x:c r="H127" s="33" t="str">
        <x:v>Needs attention</x:v>
      </x:c>
      <x:c r="I127" s="33" t="str">
        <x:v>Reconcile invoice and ITC eligibility to GSTR-2B; retain export.</x:v>
      </x:c>
      <x:c r="J127" s="33" t="str">
        <x:v>GST team</x:v>
      </x:c>
      <x:c r="K127" s="33" t="str">
        <x:v>Open</x:v>
      </x:c>
    </x:row>
    <x:row r="128">
      <x:c r="A128" s="33" t="str">
        <x:v>EX-127</x:v>
      </x:c>
      <x:c r="B128" s="33" t="str">
        <x:v>INV-032</x:v>
      </x:c>
      <x:c r="C128" s="33" t="str">
        <x:v>Gupta Stationers (Prop. Mukesh Gupta)</x:v>
      </x:c>
      <x:c r="D128" s="33" t="str">
        <x:v>GS/BOS/0388</x:v>
      </x:c>
      <x:c r="E128" s="33" t="str">
        <x:v>Payment date / bank evidence missing</x:v>
      </x:c>
      <x:c r="F128" s="33" t="str">
        <x:v>GST / MSME</x:v>
      </x:c>
      <x:c r="G128" s="34" t="n">
        <x:v>54900</x:v>
      </x:c>
      <x:c r="H128" s="33" t="str">
        <x:v>Needs attention</x:v>
      </x:c>
      <x:c r="I128" s="33" t="str">
        <x:v>Enter payment date and bank reference; test 180-day ITC and 45-day MSME clocks.</x:v>
      </x:c>
      <x:c r="J128" s="33" t="str">
        <x:v>AP team</x:v>
      </x:c>
      <x:c r="K128" s="33" t="str">
        <x:v>Open</x:v>
      </x:c>
    </x:row>
    <x:row r="129">
      <x:c r="A129" s="33" t="str">
        <x:v>EX-128</x:v>
      </x:c>
      <x:c r="B129" s="33" t="str">
        <x:v>INV-032</x:v>
      </x:c>
      <x:c r="C129" s="33" t="str">
        <x:v>Gupta Stationers (Prop. Mukesh Gupta)</x:v>
      </x:c>
      <x:c r="D129" s="33" t="str">
        <x:v>GS/BOS/0388</x:v>
      </x:c>
      <x:c r="E129" s="33" t="str">
        <x:v>TDS deduction, deposit and return evidence missing (194Q)</x:v>
      </x:c>
      <x:c r="F129" s="33" t="str">
        <x:v>TDS</x:v>
      </x:c>
      <x:c r="G129" s="34" t="n">
        <x:v>0</x:v>
      </x:c>
      <x:c r="H129" s="33" t="str">
        <x:v>Needs attention</x:v>
      </x:c>
      <x:c r="I129" s="33" t="str">
        <x:v>Apply only if buyer conditions and annual purchases threshold are met</x:v>
      </x:c>
      <x:c r="J129" s="33" t="str">
        <x:v>TDS team</x:v>
      </x:c>
      <x:c r="K129" s="33" t="str">
        <x:v>Open</x:v>
      </x:c>
    </x:row>
    <x:row r="130">
      <x:c r="A130" s="33" t="str">
        <x:v>EX-129</x:v>
      </x:c>
      <x:c r="B130" s="33" t="str">
        <x:v>INV-033</x:v>
      </x:c>
      <x:c r="C130" s="33" t="str">
        <x:v>Ramu Tea Stall</x:v>
      </x:c>
      <x:c r="D130" s="33" t="str">
        <x:v>21</x:v>
      </x:c>
      <x:c r="E130" s="33" t="str">
        <x:v>GSTIN active-status evidence missing</x:v>
      </x:c>
      <x:c r="F130" s="33" t="str">
        <x:v>GST</x:v>
      </x:c>
      <x:c r="G130" s="34" t="n">
        <x:v>9800</x:v>
      </x:c>
      <x:c r="H130" s="33" t="str">
        <x:v>Needs attention</x:v>
      </x:c>
      <x:c r="I130" s="33" t="str">
        <x:v>Check GST portal registration status and effective date.</x:v>
      </x:c>
      <x:c r="J130" s="33" t="str">
        <x:v>Tax team</x:v>
      </x:c>
      <x:c r="K130" s="33" t="str">
        <x:v>Open</x:v>
      </x:c>
    </x:row>
    <x:row r="131">
      <x:c r="A131" s="33" t="str">
        <x:v>EX-130</x:v>
      </x:c>
      <x:c r="B131" s="33" t="str">
        <x:v>INV-033</x:v>
      </x:c>
      <x:c r="C131" s="33" t="str">
        <x:v>Ramu Tea Stall</x:v>
      </x:c>
      <x:c r="D131" s="33" t="str">
        <x:v>21</x:v>
      </x:c>
      <x:c r="E131" s="33" t="str">
        <x:v>GSTR-2B reconciliation not evidenced</x:v>
      </x:c>
      <x:c r="F131" s="33" t="str">
        <x:v>GST</x:v>
      </x:c>
      <x:c r="G131" s="34" t="n">
        <x:v>0</x:v>
      </x:c>
      <x:c r="H131" s="33" t="str">
        <x:v>Needs attention</x:v>
      </x:c>
      <x:c r="I131" s="33" t="str">
        <x:v>Reconcile invoice and ITC eligibility to GSTR-2B; retain export.</x:v>
      </x:c>
      <x:c r="J131" s="33" t="str">
        <x:v>GST team</x:v>
      </x:c>
      <x:c r="K131" s="33" t="str">
        <x:v>Open</x:v>
      </x:c>
    </x:row>
    <x:row r="132">
      <x:c r="A132" s="33" t="str">
        <x:v>EX-131</x:v>
      </x:c>
      <x:c r="B132" s="33" t="str">
        <x:v>INV-033</x:v>
      </x:c>
      <x:c r="C132" s="33" t="str">
        <x:v>Ramu Tea Stall</x:v>
      </x:c>
      <x:c r="D132" s="33" t="str">
        <x:v>21</x:v>
      </x:c>
      <x:c r="E132" s="33" t="str">
        <x:v>Payment date / bank evidence missing</x:v>
      </x:c>
      <x:c r="F132" s="33" t="str">
        <x:v>GST / MSME</x:v>
      </x:c>
      <x:c r="G132" s="34" t="n">
        <x:v>9800</x:v>
      </x:c>
      <x:c r="H132" s="33" t="str">
        <x:v>Needs attention</x:v>
      </x:c>
      <x:c r="I132" s="33" t="str">
        <x:v>Enter payment date and bank reference; test 180-day ITC and 45-day MSME clocks.</x:v>
      </x:c>
      <x:c r="J132" s="33" t="str">
        <x:v>AP team</x:v>
      </x:c>
      <x:c r="K132" s="33" t="str">
        <x:v>Open</x:v>
      </x:c>
    </x:row>
    <x:row r="133">
      <x:c r="A133" s="33" t="str">
        <x:v>EX-132</x:v>
      </x:c>
      <x:c r="B133" s="33" t="str">
        <x:v>INV-034</x:v>
      </x:c>
      <x:c r="C133" s="33" t="str">
        <x:v>Krishna Painters</x:v>
      </x:c>
      <x:c r="D133" s="33" t="str">
        <x:v>KP-07</x:v>
      </x:c>
      <x:c r="E133" s="33" t="str">
        <x:v>GSTIN active-status evidence missing</x:v>
      </x:c>
      <x:c r="F133" s="33" t="str">
        <x:v>GST</x:v>
      </x:c>
      <x:c r="G133" s="34" t="n">
        <x:v>80000</x:v>
      </x:c>
      <x:c r="H133" s="33" t="str">
        <x:v>Needs attention</x:v>
      </x:c>
      <x:c r="I133" s="33" t="str">
        <x:v>Check GST portal registration status and effective date.</x:v>
      </x:c>
      <x:c r="J133" s="33" t="str">
        <x:v>Tax team</x:v>
      </x:c>
      <x:c r="K133" s="33" t="str">
        <x:v>Open</x:v>
      </x:c>
    </x:row>
    <x:row r="134">
      <x:c r="A134" s="33" t="str">
        <x:v>EX-133</x:v>
      </x:c>
      <x:c r="B134" s="33" t="str">
        <x:v>INV-034</x:v>
      </x:c>
      <x:c r="C134" s="33" t="str">
        <x:v>Krishna Painters</x:v>
      </x:c>
      <x:c r="D134" s="33" t="str">
        <x:v>KP-07</x:v>
      </x:c>
      <x:c r="E134" s="33" t="str">
        <x:v>GSTR-2B reconciliation not evidenced</x:v>
      </x:c>
      <x:c r="F134" s="33" t="str">
        <x:v>GST</x:v>
      </x:c>
      <x:c r="G134" s="34" t="n">
        <x:v>0</x:v>
      </x:c>
      <x:c r="H134" s="33" t="str">
        <x:v>Needs attention</x:v>
      </x:c>
      <x:c r="I134" s="33" t="str">
        <x:v>Reconcile invoice and ITC eligibility to GSTR-2B; retain export.</x:v>
      </x:c>
      <x:c r="J134" s="33" t="str">
        <x:v>GST team</x:v>
      </x:c>
      <x:c r="K134" s="33" t="str">
        <x:v>Open</x:v>
      </x:c>
    </x:row>
    <x:row r="135">
      <x:c r="A135" s="33" t="str">
        <x:v>EX-134</x:v>
      </x:c>
      <x:c r="B135" s="33" t="str">
        <x:v>INV-034</x:v>
      </x:c>
      <x:c r="C135" s="33" t="str">
        <x:v>Krishna Painters</x:v>
      </x:c>
      <x:c r="D135" s="33" t="str">
        <x:v>KP-07</x:v>
      </x:c>
      <x:c r="E135" s="33" t="str">
        <x:v>Payment date / bank evidence missing</x:v>
      </x:c>
      <x:c r="F135" s="33" t="str">
        <x:v>GST / MSME</x:v>
      </x:c>
      <x:c r="G135" s="34" t="n">
        <x:v>80000</x:v>
      </x:c>
      <x:c r="H135" s="33" t="str">
        <x:v>Needs attention</x:v>
      </x:c>
      <x:c r="I135" s="33" t="str">
        <x:v>Enter payment date and bank reference; test 180-day ITC and 45-day MSME clocks.</x:v>
      </x:c>
      <x:c r="J135" s="33" t="str">
        <x:v>AP team</x:v>
      </x:c>
      <x:c r="K135" s="33" t="str">
        <x:v>Open</x:v>
      </x:c>
    </x:row>
    <x:row r="136">
      <x:c r="A136" s="33" t="str">
        <x:v>EX-135</x:v>
      </x:c>
      <x:c r="B136" s="33" t="str">
        <x:v>INV-035</x:v>
      </x:c>
      <x:c r="C136" s="33" t="str">
        <x:v>BrightMind Consulting Private Limited</x:v>
      </x:c>
      <x:c r="D136" s="33" t="str">
        <x:v>BMC/2026/0477</x:v>
      </x:c>
      <x:c r="E136" s="33" t="str">
        <x:v>GSTIN active-status evidence missing</x:v>
      </x:c>
      <x:c r="F136" s="33" t="str">
        <x:v>GST</x:v>
      </x:c>
      <x:c r="G136" s="34" t="n">
        <x:v>590000</x:v>
      </x:c>
      <x:c r="H136" s="33" t="str">
        <x:v>Needs attention</x:v>
      </x:c>
      <x:c r="I136" s="33" t="str">
        <x:v>Check GST portal registration status and effective date.</x:v>
      </x:c>
      <x:c r="J136" s="33" t="str">
        <x:v>Tax team</x:v>
      </x:c>
      <x:c r="K136" s="33" t="str">
        <x:v>Open</x:v>
      </x:c>
    </x:row>
    <x:row r="137">
      <x:c r="A137" s="33" t="str">
        <x:v>EX-136</x:v>
      </x:c>
      <x:c r="B137" s="33" t="str">
        <x:v>INV-035</x:v>
      </x:c>
      <x:c r="C137" s="33" t="str">
        <x:v>BrightMind Consulting Private Limited</x:v>
      </x:c>
      <x:c r="D137" s="33" t="str">
        <x:v>BMC/2026/0477</x:v>
      </x:c>
      <x:c r="E137" s="33" t="str">
        <x:v>GSTR-2B reconciliation not evidenced</x:v>
      </x:c>
      <x:c r="F137" s="33" t="str">
        <x:v>GST</x:v>
      </x:c>
      <x:c r="G137" s="34" t="n">
        <x:v>90000</x:v>
      </x:c>
      <x:c r="H137" s="33" t="str">
        <x:v>Needs attention</x:v>
      </x:c>
      <x:c r="I137" s="33" t="str">
        <x:v>Reconcile invoice and ITC eligibility to GSTR-2B; retain export.</x:v>
      </x:c>
      <x:c r="J137" s="33" t="str">
        <x:v>GST team</x:v>
      </x:c>
      <x:c r="K137" s="33" t="str">
        <x:v>Open</x:v>
      </x:c>
    </x:row>
    <x:row r="138">
      <x:c r="A138" s="33" t="str">
        <x:v>EX-137</x:v>
      </x:c>
      <x:c r="B138" s="33" t="str">
        <x:v>INV-035</x:v>
      </x:c>
      <x:c r="C138" s="33" t="str">
        <x:v>BrightMind Consulting Private Limited</x:v>
      </x:c>
      <x:c r="D138" s="33" t="str">
        <x:v>BMC/2026/0477</x:v>
      </x:c>
      <x:c r="E138" s="33" t="str">
        <x:v>Payment date / bank evidence missing</x:v>
      </x:c>
      <x:c r="F138" s="33" t="str">
        <x:v>GST / MSME</x:v>
      </x:c>
      <x:c r="G138" s="34" t="n">
        <x:v>590000</x:v>
      </x:c>
      <x:c r="H138" s="33" t="str">
        <x:v>Needs attention</x:v>
      </x:c>
      <x:c r="I138" s="33" t="str">
        <x:v>Enter payment date and bank reference; test 180-day ITC and 45-day MSME clocks.</x:v>
      </x:c>
      <x:c r="J138" s="33" t="str">
        <x:v>AP team</x:v>
      </x:c>
      <x:c r="K138" s="33" t="str">
        <x:v>Open</x:v>
      </x:c>
    </x:row>
    <x:row r="139">
      <x:c r="A139" s="33" t="str">
        <x:v>EX-138</x:v>
      </x:c>
      <x:c r="B139" s="33" t="str">
        <x:v>INV-035</x:v>
      </x:c>
      <x:c r="C139" s="33" t="str">
        <x:v>BrightMind Consulting Private Limited</x:v>
      </x:c>
      <x:c r="D139" s="33" t="str">
        <x:v>BMC/2026/0477</x:v>
      </x:c>
      <x:c r="E139" s="33" t="str">
        <x:v>TDS deduction, deposit and return evidence missing (194J)</x:v>
      </x:c>
      <x:c r="F139" s="33" t="str">
        <x:v>TDS</x:v>
      </x:c>
      <x:c r="G139" s="34" t="n">
        <x:v>500000</x:v>
      </x:c>
      <x:c r="H139" s="33" t="str">
        <x:v>Needs attention</x:v>
      </x:c>
      <x:c r="I139" s="33" t="str">
        <x:v>Classify professional vs technical and confirm rate</x:v>
      </x:c>
      <x:c r="J139" s="33" t="str">
        <x:v>TDS team</x:v>
      </x:c>
      <x:c r="K139" s="33" t="str">
        <x:v>Open</x:v>
      </x:c>
    </x:row>
    <x:row r="140">
      <x:c r="A140" s="33" t="str">
        <x:v>EX-139</x:v>
      </x:c>
      <x:c r="B140" s="33" t="str">
        <x:v>INV-036</x:v>
      </x:c>
      <x:c r="C140" s="33" t="str">
        <x:v>Kalam Content Studios LLP</x:v>
      </x:c>
      <x:c r="D140" s="33" t="str">
        <x:v>KCS/LIC/26-27/08</x:v>
      </x:c>
      <x:c r="E140" s="33" t="str">
        <x:v>GSTIN active-status evidence missing</x:v>
      </x:c>
      <x:c r="F140" s="33" t="str">
        <x:v>GST</x:v>
      </x:c>
      <x:c r="G140" s="34" t="n">
        <x:v>708000</x:v>
      </x:c>
      <x:c r="H140" s="33" t="str">
        <x:v>Needs attention</x:v>
      </x:c>
      <x:c r="I140" s="33" t="str">
        <x:v>Check GST portal registration status and effective date.</x:v>
      </x:c>
      <x:c r="J140" s="33" t="str">
        <x:v>Tax team</x:v>
      </x:c>
      <x:c r="K140" s="33" t="str">
        <x:v>Open</x:v>
      </x:c>
    </x:row>
    <x:row r="141">
      <x:c r="A141" s="33" t="str">
        <x:v>EX-140</x:v>
      </x:c>
      <x:c r="B141" s="33" t="str">
        <x:v>INV-036</x:v>
      </x:c>
      <x:c r="C141" s="33" t="str">
        <x:v>Kalam Content Studios LLP</x:v>
      </x:c>
      <x:c r="D141" s="33" t="str">
        <x:v>KCS/LIC/26-27/08</x:v>
      </x:c>
      <x:c r="E141" s="33" t="str">
        <x:v>GSTR-2B reconciliation not evidenced</x:v>
      </x:c>
      <x:c r="F141" s="33" t="str">
        <x:v>GST</x:v>
      </x:c>
      <x:c r="G141" s="34" t="n">
        <x:v>108000</x:v>
      </x:c>
      <x:c r="H141" s="33" t="str">
        <x:v>Needs attention</x:v>
      </x:c>
      <x:c r="I141" s="33" t="str">
        <x:v>Reconcile invoice and ITC eligibility to GSTR-2B; retain export.</x:v>
      </x:c>
      <x:c r="J141" s="33" t="str">
        <x:v>GST team</x:v>
      </x:c>
      <x:c r="K141" s="33" t="str">
        <x:v>Open</x:v>
      </x:c>
    </x:row>
    <x:row r="142">
      <x:c r="A142" s="33" t="str">
        <x:v>EX-141</x:v>
      </x:c>
      <x:c r="B142" s="33" t="str">
        <x:v>INV-036</x:v>
      </x:c>
      <x:c r="C142" s="33" t="str">
        <x:v>Kalam Content Studios LLP</x:v>
      </x:c>
      <x:c r="D142" s="33" t="str">
        <x:v>KCS/LIC/26-27/08</x:v>
      </x:c>
      <x:c r="E142" s="33" t="str">
        <x:v>Payment date / bank evidence missing</x:v>
      </x:c>
      <x:c r="F142" s="33" t="str">
        <x:v>GST / MSME</x:v>
      </x:c>
      <x:c r="G142" s="34" t="n">
        <x:v>708000</x:v>
      </x:c>
      <x:c r="H142" s="33" t="str">
        <x:v>Needs attention</x:v>
      </x:c>
      <x:c r="I142" s="33" t="str">
        <x:v>Enter payment date and bank reference; test 180-day ITC and 45-day MSME clocks.</x:v>
      </x:c>
      <x:c r="J142" s="33" t="str">
        <x:v>AP team</x:v>
      </x:c>
      <x:c r="K142" s="33" t="str">
        <x:v>Open</x:v>
      </x:c>
    </x:row>
    <x:row r="143">
      <x:c r="A143" s="33" t="str">
        <x:v>EX-142</x:v>
      </x:c>
      <x:c r="B143" s="33" t="str">
        <x:v>INV-036</x:v>
      </x:c>
      <x:c r="C143" s="33" t="str">
        <x:v>Kalam Content Studios LLP</x:v>
      </x:c>
      <x:c r="D143" s="33" t="str">
        <x:v>KCS/LIC/26-27/08</x:v>
      </x:c>
      <x:c r="E143" s="33" t="str">
        <x:v>TDS deduction, deposit and return evidence missing (194J)</x:v>
      </x:c>
      <x:c r="F143" s="33" t="str">
        <x:v>TDS</x:v>
      </x:c>
      <x:c r="G143" s="34" t="n">
        <x:v>600000</x:v>
      </x:c>
      <x:c r="H143" s="33" t="str">
        <x:v>Needs attention</x:v>
      </x:c>
      <x:c r="I143" s="33" t="str">
        <x:v>Confirm royalty versus sale of goods / licence</x:v>
      </x:c>
      <x:c r="J143" s="33" t="str">
        <x:v>TDS team</x:v>
      </x:c>
      <x:c r="K143" s="33" t="str">
        <x:v>Open</x:v>
      </x:c>
    </x:row>
    <x:row r="144">
      <x:c r="A144" s="33" t="str">
        <x:v>EX-143</x:v>
      </x:c>
      <x:c r="B144" s="33" t="str">
        <x:v>INV-037</x:v>
      </x:c>
      <x:c r="C144" s="33" t="str">
        <x:v>Softline Licensing Private Limited</x:v>
      </x:c>
      <x:c r="D144" s="33" t="str">
        <x:v>SLP/DL/2627/1204</x:v>
      </x:c>
      <x:c r="E144" s="33" t="str">
        <x:v>GSTIN active-status evidence missing</x:v>
      </x:c>
      <x:c r="F144" s="33" t="str">
        <x:v>GST</x:v>
      </x:c>
      <x:c r="G144" s="34" t="n">
        <x:v>542800</x:v>
      </x:c>
      <x:c r="H144" s="33" t="str">
        <x:v>Needs attention</x:v>
      </x:c>
      <x:c r="I144" s="33" t="str">
        <x:v>Check GST portal registration status and effective date.</x:v>
      </x:c>
      <x:c r="J144" s="33" t="str">
        <x:v>Tax team</x:v>
      </x:c>
      <x:c r="K144" s="33" t="str">
        <x:v>Open</x:v>
      </x:c>
    </x:row>
    <x:row r="145">
      <x:c r="A145" s="33" t="str">
        <x:v>EX-144</x:v>
      </x:c>
      <x:c r="B145" s="33" t="str">
        <x:v>INV-037</x:v>
      </x:c>
      <x:c r="C145" s="33" t="str">
        <x:v>Softline Licensing Private Limited</x:v>
      </x:c>
      <x:c r="D145" s="33" t="str">
        <x:v>SLP/DL/2627/1204</x:v>
      </x:c>
      <x:c r="E145" s="33" t="str">
        <x:v>GSTR-2B reconciliation not evidenced</x:v>
      </x:c>
      <x:c r="F145" s="33" t="str">
        <x:v>GST</x:v>
      </x:c>
      <x:c r="G145" s="34" t="n">
        <x:v>82800</x:v>
      </x:c>
      <x:c r="H145" s="33" t="str">
        <x:v>Needs attention</x:v>
      </x:c>
      <x:c r="I145" s="33" t="str">
        <x:v>Reconcile invoice and ITC eligibility to GSTR-2B; retain export.</x:v>
      </x:c>
      <x:c r="J145" s="33" t="str">
        <x:v>GST team</x:v>
      </x:c>
      <x:c r="K145" s="33" t="str">
        <x:v>Open</x:v>
      </x:c>
    </x:row>
    <x:row r="146">
      <x:c r="A146" s="33" t="str">
        <x:v>EX-145</x:v>
      </x:c>
      <x:c r="B146" s="33" t="str">
        <x:v>INV-037</x:v>
      </x:c>
      <x:c r="C146" s="33" t="str">
        <x:v>Softline Licensing Private Limited</x:v>
      </x:c>
      <x:c r="D146" s="33" t="str">
        <x:v>SLP/DL/2627/1204</x:v>
      </x:c>
      <x:c r="E146" s="33" t="str">
        <x:v>Payment date / bank evidence missing</x:v>
      </x:c>
      <x:c r="F146" s="33" t="str">
        <x:v>GST / MSME</x:v>
      </x:c>
      <x:c r="G146" s="34" t="n">
        <x:v>542800</x:v>
      </x:c>
      <x:c r="H146" s="33" t="str">
        <x:v>Needs attention</x:v>
      </x:c>
      <x:c r="I146" s="33" t="str">
        <x:v>Enter payment date and bank reference; test 180-day ITC and 45-day MSME clocks.</x:v>
      </x:c>
      <x:c r="J146" s="33" t="str">
        <x:v>AP team</x:v>
      </x:c>
      <x:c r="K146" s="33" t="str">
        <x:v>Open</x:v>
      </x:c>
    </x:row>
    <x:row r="147">
      <x:c r="A147" s="33" t="str">
        <x:v>EX-146</x:v>
      </x:c>
      <x:c r="B147" s="33" t="str">
        <x:v>INV-038</x:v>
      </x:c>
      <x:c r="C147" s="33" t="str">
        <x:v>Arjun Mehta (Voice-over Artist)</x:v>
      </x:c>
      <x:c r="D147" s="33" t="str">
        <x:v>AM-VO-26-04</x:v>
      </x:c>
      <x:c r="E147" s="33" t="str">
        <x:v>GSTIN active-status evidence missing</x:v>
      </x:c>
      <x:c r="F147" s="33" t="str">
        <x:v>GST</x:v>
      </x:c>
      <x:c r="G147" s="34" t="n">
        <x:v>84960</x:v>
      </x:c>
      <x:c r="H147" s="33" t="str">
        <x:v>Needs attention</x:v>
      </x:c>
      <x:c r="I147" s="33" t="str">
        <x:v>Check GST portal registration status and effective date.</x:v>
      </x:c>
      <x:c r="J147" s="33" t="str">
        <x:v>Tax team</x:v>
      </x:c>
      <x:c r="K147" s="33" t="str">
        <x:v>Open</x:v>
      </x:c>
    </x:row>
    <x:row r="148">
      <x:c r="A148" s="33" t="str">
        <x:v>EX-147</x:v>
      </x:c>
      <x:c r="B148" s="33" t="str">
        <x:v>INV-038</x:v>
      </x:c>
      <x:c r="C148" s="33" t="str">
        <x:v>Arjun Mehta (Voice-over Artist)</x:v>
      </x:c>
      <x:c r="D148" s="33" t="str">
        <x:v>AM-VO-26-04</x:v>
      </x:c>
      <x:c r="E148" s="33" t="str">
        <x:v>GSTR-2B reconciliation not evidenced</x:v>
      </x:c>
      <x:c r="F148" s="33" t="str">
        <x:v>GST</x:v>
      </x:c>
      <x:c r="G148" s="34" t="n">
        <x:v>12960</x:v>
      </x:c>
      <x:c r="H148" s="33" t="str">
        <x:v>Needs attention</x:v>
      </x:c>
      <x:c r="I148" s="33" t="str">
        <x:v>Reconcile invoice and ITC eligibility to GSTR-2B; retain export.</x:v>
      </x:c>
      <x:c r="J148" s="33" t="str">
        <x:v>GST team</x:v>
      </x:c>
      <x:c r="K148" s="33" t="str">
        <x:v>Open</x:v>
      </x:c>
    </x:row>
    <x:row r="149">
      <x:c r="A149" s="33" t="str">
        <x:v>EX-148</x:v>
      </x:c>
      <x:c r="B149" s="33" t="str">
        <x:v>INV-038</x:v>
      </x:c>
      <x:c r="C149" s="33" t="str">
        <x:v>Arjun Mehta (Voice-over Artist)</x:v>
      </x:c>
      <x:c r="D149" s="33" t="str">
        <x:v>AM-VO-26-04</x:v>
      </x:c>
      <x:c r="E149" s="33" t="str">
        <x:v>Payment date / bank evidence missing</x:v>
      </x:c>
      <x:c r="F149" s="33" t="str">
        <x:v>GST / MSME</x:v>
      </x:c>
      <x:c r="G149" s="34" t="n">
        <x:v>84960</x:v>
      </x:c>
      <x:c r="H149" s="33" t="str">
        <x:v>Needs attention</x:v>
      </x:c>
      <x:c r="I149" s="33" t="str">
        <x:v>Enter payment date and bank reference; test 180-day ITC and 45-day MSME clocks.</x:v>
      </x:c>
      <x:c r="J149" s="33" t="str">
        <x:v>AP team</x:v>
      </x:c>
      <x:c r="K149" s="33" t="str">
        <x:v>Open</x:v>
      </x:c>
    </x:row>
    <x:row r="150">
      <x:c r="A150" s="33" t="str">
        <x:v>EX-149</x:v>
      </x:c>
      <x:c r="B150" s="33" t="str">
        <x:v>INV-038</x:v>
      </x:c>
      <x:c r="C150" s="33" t="str">
        <x:v>Arjun Mehta (Voice-over Artist)</x:v>
      </x:c>
      <x:c r="D150" s="33" t="str">
        <x:v>AM-VO-26-04</x:v>
      </x:c>
      <x:c r="E150" s="33" t="str">
        <x:v>TDS deduction, deposit and return evidence missing (194J)</x:v>
      </x:c>
      <x:c r="F150" s="33" t="str">
        <x:v>TDS</x:v>
      </x:c>
      <x:c r="G150" s="34" t="n">
        <x:v>72000</x:v>
      </x:c>
      <x:c r="H150" s="33" t="str">
        <x:v>Needs attention</x:v>
      </x:c>
      <x:c r="I150" s="33" t="str">
        <x:v>Classify professional vs technical and confirm rate</x:v>
      </x:c>
      <x:c r="J150" s="33" t="str">
        <x:v>TDS team</x:v>
      </x:c>
      <x:c r="K150" s="33" t="str">
        <x:v>Open</x:v>
      </x:c>
    </x:row>
    <x:row r="151">
      <x:c r="A151" s="33" t="str">
        <x:v>EX-150</x:v>
      </x:c>
      <x:c r="B151" s="33" t="str">
        <x:v>INV-039</x:v>
      </x:c>
      <x:c r="C151" s="33" t="str">
        <x:v>Dr. Seema Rao</x:v>
      </x:c>
      <x:c r="D151" s="33" t="str">
        <x:v>SR/HC/2026</x:v>
      </x:c>
      <x:c r="E151" s="33" t="str">
        <x:v>GSTIN active-status evidence missing</x:v>
      </x:c>
      <x:c r="F151" s="33" t="str">
        <x:v>GST</x:v>
      </x:c>
      <x:c r="G151" s="34" t="n">
        <x:v>60000</x:v>
      </x:c>
      <x:c r="H151" s="33" t="str">
        <x:v>Needs attention</x:v>
      </x:c>
      <x:c r="I151" s="33" t="str">
        <x:v>Check GST portal registration status and effective date.</x:v>
      </x:c>
      <x:c r="J151" s="33" t="str">
        <x:v>Tax team</x:v>
      </x:c>
      <x:c r="K151" s="33" t="str">
        <x:v>Open</x:v>
      </x:c>
    </x:row>
    <x:row r="152">
      <x:c r="A152" s="33" t="str">
        <x:v>EX-151</x:v>
      </x:c>
      <x:c r="B152" s="33" t="str">
        <x:v>INV-039</x:v>
      </x:c>
      <x:c r="C152" s="33" t="str">
        <x:v>Dr. Seema Rao</x:v>
      </x:c>
      <x:c r="D152" s="33" t="str">
        <x:v>SR/HC/2026</x:v>
      </x:c>
      <x:c r="E152" s="33" t="str">
        <x:v>GSTR-2B reconciliation not evidenced</x:v>
      </x:c>
      <x:c r="F152" s="33" t="str">
        <x:v>GST</x:v>
      </x:c>
      <x:c r="G152" s="34" t="n">
        <x:v>0</x:v>
      </x:c>
      <x:c r="H152" s="33" t="str">
        <x:v>Needs attention</x:v>
      </x:c>
      <x:c r="I152" s="33" t="str">
        <x:v>Reconcile invoice and ITC eligibility to GSTR-2B; retain export.</x:v>
      </x:c>
      <x:c r="J152" s="33" t="str">
        <x:v>GST team</x:v>
      </x:c>
      <x:c r="K152" s="33" t="str">
        <x:v>Open</x:v>
      </x:c>
    </x:row>
    <x:row r="153">
      <x:c r="A153" s="33" t="str">
        <x:v>EX-152</x:v>
      </x:c>
      <x:c r="B153" s="33" t="str">
        <x:v>INV-039</x:v>
      </x:c>
      <x:c r="C153" s="33" t="str">
        <x:v>Dr. Seema Rao</x:v>
      </x:c>
      <x:c r="D153" s="33" t="str">
        <x:v>SR/HC/2026</x:v>
      </x:c>
      <x:c r="E153" s="33" t="str">
        <x:v>Payment date / bank evidence missing</x:v>
      </x:c>
      <x:c r="F153" s="33" t="str">
        <x:v>GST / MSME</x:v>
      </x:c>
      <x:c r="G153" s="34" t="n">
        <x:v>60000</x:v>
      </x:c>
      <x:c r="H153" s="33" t="str">
        <x:v>Needs attention</x:v>
      </x:c>
      <x:c r="I153" s="33" t="str">
        <x:v>Enter payment date and bank reference; test 180-day ITC and 45-day MSME clocks.</x:v>
      </x:c>
      <x:c r="J153" s="33" t="str">
        <x:v>AP team</x:v>
      </x:c>
      <x:c r="K153" s="33" t="str">
        <x:v>Open</x:v>
      </x:c>
    </x:row>
    <x:row r="154">
      <x:c r="A154" s="33" t="str">
        <x:v>EX-153</x:v>
      </x:c>
      <x:c r="B154" s="33" t="str">
        <x:v>INV-039</x:v>
      </x:c>
      <x:c r="C154" s="33" t="str">
        <x:v>Dr. Seema Rao</x:v>
      </x:c>
      <x:c r="D154" s="33" t="str">
        <x:v>SR/HC/2026</x:v>
      </x:c>
      <x:c r="E154" s="33" t="str">
        <x:v>TDS deduction, deposit and return evidence missing (194J)</x:v>
      </x:c>
      <x:c r="F154" s="33" t="str">
        <x:v>TDS</x:v>
      </x:c>
      <x:c r="G154" s="34" t="n">
        <x:v>0</x:v>
      </x:c>
      <x:c r="H154" s="33" t="str">
        <x:v>Needs attention</x:v>
      </x:c>
      <x:c r="I154" s="33" t="str">
        <x:v>Classify professional vs technical and confirm rate</x:v>
      </x:c>
      <x:c r="J154" s="33" t="str">
        <x:v>TDS team</x:v>
      </x:c>
      <x:c r="K154" s="33" t="str">
        <x:v>Open</x:v>
      </x:c>
    </x:row>
    <x:row r="155">
      <x:c r="A155" s="33" t="str">
        <x:v>EX-154</x:v>
      </x:c>
      <x:c r="B155" s="33" t="str">
        <x:v>INV-040</x:v>
      </x:c>
      <x:c r="C155" s="33" t="str">
        <x:v>Vidya Publishers Private Limited</x:v>
      </x:c>
      <x:c r="D155" s="33" t="str">
        <x:v>VPL/UP/2627/0322</x:v>
      </x:c>
      <x:c r="E155" s="33" t="str">
        <x:v>GSTIN active-status evidence missing</x:v>
      </x:c>
      <x:c r="F155" s="33" t="str">
        <x:v>GST</x:v>
      </x:c>
      <x:c r="G155" s="34" t="n">
        <x:v>540000</x:v>
      </x:c>
      <x:c r="H155" s="33" t="str">
        <x:v>Needs attention</x:v>
      </x:c>
      <x:c r="I155" s="33" t="str">
        <x:v>Check GST portal registration status and effective date.</x:v>
      </x:c>
      <x:c r="J155" s="33" t="str">
        <x:v>Tax team</x:v>
      </x:c>
      <x:c r="K155" s="33" t="str">
        <x:v>Open</x:v>
      </x:c>
    </x:row>
    <x:row r="156">
      <x:c r="A156" s="33" t="str">
        <x:v>EX-155</x:v>
      </x:c>
      <x:c r="B156" s="33" t="str">
        <x:v>INV-040</x:v>
      </x:c>
      <x:c r="C156" s="33" t="str">
        <x:v>Vidya Publishers Private Limited</x:v>
      </x:c>
      <x:c r="D156" s="33" t="str">
        <x:v>VPL/UP/2627/0322</x:v>
      </x:c>
      <x:c r="E156" s="33" t="str">
        <x:v>GSTR-2B reconciliation not evidenced</x:v>
      </x:c>
      <x:c r="F156" s="33" t="str">
        <x:v>GST</x:v>
      </x:c>
      <x:c r="G156" s="34" t="n">
        <x:v>0</x:v>
      </x:c>
      <x:c r="H156" s="33" t="str">
        <x:v>Needs attention</x:v>
      </x:c>
      <x:c r="I156" s="33" t="str">
        <x:v>Reconcile invoice and ITC eligibility to GSTR-2B; retain export.</x:v>
      </x:c>
      <x:c r="J156" s="33" t="str">
        <x:v>GST team</x:v>
      </x:c>
      <x:c r="K156" s="33" t="str">
        <x:v>Open</x:v>
      </x:c>
    </x:row>
    <x:row r="157">
      <x:c r="A157" s="33" t="str">
        <x:v>EX-156</x:v>
      </x:c>
      <x:c r="B157" s="33" t="str">
        <x:v>INV-040</x:v>
      </x:c>
      <x:c r="C157" s="33" t="str">
        <x:v>Vidya Publishers Private Limited</x:v>
      </x:c>
      <x:c r="D157" s="33" t="str">
        <x:v>VPL/UP/2627/0322</x:v>
      </x:c>
      <x:c r="E157" s="33" t="str">
        <x:v>Payment date / bank evidence missing</x:v>
      </x:c>
      <x:c r="F157" s="33" t="str">
        <x:v>GST / MSME</x:v>
      </x:c>
      <x:c r="G157" s="34" t="n">
        <x:v>540000</x:v>
      </x:c>
      <x:c r="H157" s="33" t="str">
        <x:v>Needs attention</x:v>
      </x:c>
      <x:c r="I157" s="33" t="str">
        <x:v>Enter payment date and bank reference; test 180-day ITC and 45-day MSME clocks.</x:v>
      </x:c>
      <x:c r="J157" s="33" t="str">
        <x:v>AP team</x:v>
      </x:c>
      <x:c r="K157" s="33" t="str">
        <x:v>Open</x:v>
      </x:c>
    </x:row>
    <x:row r="158">
      <x:c r="A158" s="33" t="str">
        <x:v>EX-157</x:v>
      </x:c>
      <x:c r="B158" s="33" t="str">
        <x:v>INV-041</x:v>
      </x:c>
      <x:c r="C158" s="33" t="str">
        <x:v>Saraswati Paper Mart (Prop. Deepak Jain)</x:v>
      </x:c>
      <x:c r="D158" s="33" t="str">
        <x:v>SPM/0911</x:v>
      </x:c>
      <x:c r="E158" s="33" t="str">
        <x:v>GSTIN active-status evidence missing</x:v>
      </x:c>
      <x:c r="F158" s="33" t="str">
        <x:v>GST</x:v>
      </x:c>
      <x:c r="G158" s="34" t="n">
        <x:v>90000</x:v>
      </x:c>
      <x:c r="H158" s="33" t="str">
        <x:v>Needs attention</x:v>
      </x:c>
      <x:c r="I158" s="33" t="str">
        <x:v>Check GST portal registration status and effective date.</x:v>
      </x:c>
      <x:c r="J158" s="33" t="str">
        <x:v>Tax team</x:v>
      </x:c>
      <x:c r="K158" s="33" t="str">
        <x:v>Open</x:v>
      </x:c>
    </x:row>
    <x:row r="159">
      <x:c r="A159" s="33" t="str">
        <x:v>EX-158</x:v>
      </x:c>
      <x:c r="B159" s="33" t="str">
        <x:v>INV-041</x:v>
      </x:c>
      <x:c r="C159" s="33" t="str">
        <x:v>Saraswati Paper Mart (Prop. Deepak Jain)</x:v>
      </x:c>
      <x:c r="D159" s="33" t="str">
        <x:v>SPM/0911</x:v>
      </x:c>
      <x:c r="E159" s="33" t="str">
        <x:v>GSTR-2B reconciliation not evidenced</x:v>
      </x:c>
      <x:c r="F159" s="33" t="str">
        <x:v>GST</x:v>
      </x:c>
      <x:c r="G159" s="34" t="n">
        <x:v>0</x:v>
      </x:c>
      <x:c r="H159" s="33" t="str">
        <x:v>Needs attention</x:v>
      </x:c>
      <x:c r="I159" s="33" t="str">
        <x:v>Reconcile invoice and ITC eligibility to GSTR-2B; retain export.</x:v>
      </x:c>
      <x:c r="J159" s="33" t="str">
        <x:v>GST team</x:v>
      </x:c>
      <x:c r="K159" s="33" t="str">
        <x:v>Open</x:v>
      </x:c>
    </x:row>
    <x:row r="160">
      <x:c r="A160" s="33" t="str">
        <x:v>EX-159</x:v>
      </x:c>
      <x:c r="B160" s="33" t="str">
        <x:v>INV-041</x:v>
      </x:c>
      <x:c r="C160" s="33" t="str">
        <x:v>Saraswati Paper Mart (Prop. Deepak Jain)</x:v>
      </x:c>
      <x:c r="D160" s="33" t="str">
        <x:v>SPM/0911</x:v>
      </x:c>
      <x:c r="E160" s="33" t="str">
        <x:v>Payment date / bank evidence missing</x:v>
      </x:c>
      <x:c r="F160" s="33" t="str">
        <x:v>GST / MSME</x:v>
      </x:c>
      <x:c r="G160" s="34" t="n">
        <x:v>90000</x:v>
      </x:c>
      <x:c r="H160" s="33" t="str">
        <x:v>Needs attention</x:v>
      </x:c>
      <x:c r="I160" s="33" t="str">
        <x:v>Enter payment date and bank reference; test 180-day ITC and 45-day MSME clocks.</x:v>
      </x:c>
      <x:c r="J160" s="33" t="str">
        <x:v>AP team</x:v>
      </x:c>
      <x:c r="K160" s="33" t="str">
        <x:v>Open</x:v>
      </x:c>
    </x:row>
    <x:row r="161">
      <x:c r="A161" s="33" t="str">
        <x:v>EX-160</x:v>
      </x:c>
      <x:c r="B161" s="33" t="str">
        <x:v>INV-042</x:v>
      </x:c>
      <x:c r="C161" s="33" t="str">
        <x:v>AquaPure Water Suppliers</x:v>
      </x:c>
      <x:c r="D161" s="33" t="str">
        <x:v>APW/26/0705</x:v>
      </x:c>
      <x:c r="E161" s="33" t="str">
        <x:v>GSTIN active-status evidence missing</x:v>
      </x:c>
      <x:c r="F161" s="33" t="str">
        <x:v>GST</x:v>
      </x:c>
      <x:c r="G161" s="34" t="n">
        <x:v>22050</x:v>
      </x:c>
      <x:c r="H161" s="33" t="str">
        <x:v>Needs attention</x:v>
      </x:c>
      <x:c r="I161" s="33" t="str">
        <x:v>Check GST portal registration status and effective date.</x:v>
      </x:c>
      <x:c r="J161" s="33" t="str">
        <x:v>Tax team</x:v>
      </x:c>
      <x:c r="K161" s="33" t="str">
        <x:v>Open</x:v>
      </x:c>
    </x:row>
    <x:row r="162">
      <x:c r="A162" s="33" t="str">
        <x:v>EX-161</x:v>
      </x:c>
      <x:c r="B162" s="33" t="str">
        <x:v>INV-042</x:v>
      </x:c>
      <x:c r="C162" s="33" t="str">
        <x:v>AquaPure Water Suppliers</x:v>
      </x:c>
      <x:c r="D162" s="33" t="str">
        <x:v>APW/26/0705</x:v>
      </x:c>
      <x:c r="E162" s="33" t="str">
        <x:v>GSTR-2B reconciliation not evidenced</x:v>
      </x:c>
      <x:c r="F162" s="33" t="str">
        <x:v>GST</x:v>
      </x:c>
      <x:c r="G162" s="34" t="n">
        <x:v>1050</x:v>
      </x:c>
      <x:c r="H162" s="33" t="str">
        <x:v>Needs attention</x:v>
      </x:c>
      <x:c r="I162" s="33" t="str">
        <x:v>Reconcile invoice and ITC eligibility to GSTR-2B; retain export.</x:v>
      </x:c>
      <x:c r="J162" s="33" t="str">
        <x:v>GST team</x:v>
      </x:c>
      <x:c r="K162" s="33" t="str">
        <x:v>Open</x:v>
      </x:c>
    </x:row>
    <x:row r="163">
      <x:c r="A163" s="33" t="str">
        <x:v>EX-162</x:v>
      </x:c>
      <x:c r="B163" s="33" t="str">
        <x:v>INV-042</x:v>
      </x:c>
      <x:c r="C163" s="33" t="str">
        <x:v>AquaPure Water Suppliers</x:v>
      </x:c>
      <x:c r="D163" s="33" t="str">
        <x:v>APW/26/0705</x:v>
      </x:c>
      <x:c r="E163" s="33" t="str">
        <x:v>Payment date / bank evidence missing</x:v>
      </x:c>
      <x:c r="F163" s="33" t="str">
        <x:v>GST / MSME</x:v>
      </x:c>
      <x:c r="G163" s="34" t="n">
        <x:v>22050</x:v>
      </x:c>
      <x:c r="H163" s="33" t="str">
        <x:v>Needs attention</x:v>
      </x:c>
      <x:c r="I163" s="33" t="str">
        <x:v>Enter payment date and bank reference; test 180-day ITC and 45-day MSME clocks.</x:v>
      </x:c>
      <x:c r="J163" s="33" t="str">
        <x:v>AP team</x:v>
      </x:c>
      <x:c r="K163" s="33" t="str">
        <x:v>Open</x:v>
      </x:c>
    </x:row>
    <x:row r="164">
      <x:c r="A164" s="33" t="str">
        <x:v>EX-163</x:v>
      </x:c>
      <x:c r="B164" s="33" t="str">
        <x:v>INV-042</x:v>
      </x:c>
      <x:c r="C164" s="33" t="str">
        <x:v>AquaPure Water Suppliers</x:v>
      </x:c>
      <x:c r="D164" s="33" t="str">
        <x:v>APW/26/0705</x:v>
      </x:c>
      <x:c r="E164" s="33" t="str">
        <x:v>TDS deduction, deposit and return evidence missing (194Q)</x:v>
      </x:c>
      <x:c r="F164" s="33" t="str">
        <x:v>TDS</x:v>
      </x:c>
      <x:c r="G164" s="34" t="n">
        <x:v>21000</x:v>
      </x:c>
      <x:c r="H164" s="33" t="str">
        <x:v>Needs attention</x:v>
      </x:c>
      <x:c r="I164" s="33" t="str">
        <x:v>Apply only if buyer conditions and annual purchases threshold are met</x:v>
      </x:c>
      <x:c r="J164" s="33" t="str">
        <x:v>TDS team</x:v>
      </x:c>
      <x:c r="K164" s="33" t="str">
        <x:v>Open</x:v>
      </x:c>
    </x:row>
    <x:row r="165">
      <x:c r="A165" s="33" t="str">
        <x:v>EX-164</x:v>
      </x:c>
      <x:c r="B165" s="33" t="str">
        <x:v>INV-043</x:v>
      </x:c>
      <x:c r="C165" s="33" t="str">
        <x:v>Party Supplies Co. (Prop. Sunil Bhatia)</x:v>
      </x:c>
      <x:c r="D165" s="33" t="str">
        <x:v>PSC/0287</x:v>
      </x:c>
      <x:c r="E165" s="33" t="str">
        <x:v>GSTIN active-status evidence missing</x:v>
      </x:c>
      <x:c r="F165" s="33" t="str">
        <x:v>GST</x:v>
      </x:c>
      <x:c r="G165" s="34" t="n">
        <x:v>27720</x:v>
      </x:c>
      <x:c r="H165" s="33" t="str">
        <x:v>Needs attention</x:v>
      </x:c>
      <x:c r="I165" s="33" t="str">
        <x:v>Check GST portal registration status and effective date.</x:v>
      </x:c>
      <x:c r="J165" s="33" t="str">
        <x:v>Tax team</x:v>
      </x:c>
      <x:c r="K165" s="33" t="str">
        <x:v>Open</x:v>
      </x:c>
    </x:row>
    <x:row r="166">
      <x:c r="A166" s="33" t="str">
        <x:v>EX-165</x:v>
      </x:c>
      <x:c r="B166" s="33" t="str">
        <x:v>INV-043</x:v>
      </x:c>
      <x:c r="C166" s="33" t="str">
        <x:v>Party Supplies Co. (Prop. Sunil Bhatia)</x:v>
      </x:c>
      <x:c r="D166" s="33" t="str">
        <x:v>PSC/0287</x:v>
      </x:c>
      <x:c r="E166" s="33" t="str">
        <x:v>GSTR-2B reconciliation not evidenced</x:v>
      </x:c>
      <x:c r="F166" s="33" t="str">
        <x:v>GST</x:v>
      </x:c>
      <x:c r="G166" s="34" t="n">
        <x:v>360</x:v>
      </x:c>
      <x:c r="H166" s="33" t="str">
        <x:v>Needs attention</x:v>
      </x:c>
      <x:c r="I166" s="33" t="str">
        <x:v>Reconcile invoice and ITC eligibility to GSTR-2B; retain export.</x:v>
      </x:c>
      <x:c r="J166" s="33" t="str">
        <x:v>GST team</x:v>
      </x:c>
      <x:c r="K166" s="33" t="str">
        <x:v>Open</x:v>
      </x:c>
    </x:row>
    <x:row r="167">
      <x:c r="A167" s="33" t="str">
        <x:v>EX-166</x:v>
      </x:c>
      <x:c r="B167" s="33" t="str">
        <x:v>INV-043</x:v>
      </x:c>
      <x:c r="C167" s="33" t="str">
        <x:v>Party Supplies Co. (Prop. Sunil Bhatia)</x:v>
      </x:c>
      <x:c r="D167" s="33" t="str">
        <x:v>PSC/0287</x:v>
      </x:c>
      <x:c r="E167" s="33" t="str">
        <x:v>Payment date / bank evidence missing</x:v>
      </x:c>
      <x:c r="F167" s="33" t="str">
        <x:v>GST / MSME</x:v>
      </x:c>
      <x:c r="G167" s="34" t="n">
        <x:v>27720</x:v>
      </x:c>
      <x:c r="H167" s="33" t="str">
        <x:v>Needs attention</x:v>
      </x:c>
      <x:c r="I167" s="33" t="str">
        <x:v>Enter payment date and bank reference; test 180-day ITC and 45-day MSME clocks.</x:v>
      </x:c>
      <x:c r="J167" s="33" t="str">
        <x:v>AP team</x:v>
      </x:c>
      <x:c r="K167" s="33" t="str">
        <x:v>Open</x:v>
      </x:c>
    </x:row>
    <x:row r="168">
      <x:c r="A168" s="33" t="str">
        <x:v>EX-167</x:v>
      </x:c>
      <x:c r="B168" s="33" t="str">
        <x:v>INV-043</x:v>
      </x:c>
      <x:c r="C168" s="33" t="str">
        <x:v>Party Supplies Co. (Prop. Sunil Bhatia)</x:v>
      </x:c>
      <x:c r="D168" s="33" t="str">
        <x:v>PSC/0287</x:v>
      </x:c>
      <x:c r="E168" s="33" t="str">
        <x:v>TDS deduction, deposit and return evidence missing (194Q)</x:v>
      </x:c>
      <x:c r="F168" s="33" t="str">
        <x:v>TDS</x:v>
      </x:c>
      <x:c r="G168" s="34" t="n">
        <x:v>21600</x:v>
      </x:c>
      <x:c r="H168" s="33" t="str">
        <x:v>Needs attention</x:v>
      </x:c>
      <x:c r="I168" s="33" t="str">
        <x:v>Apply only if buyer conditions and annual purchases threshold are met</x:v>
      </x:c>
      <x:c r="J168" s="33" t="str">
        <x:v>TDS team</x:v>
      </x:c>
      <x:c r="K168" s="33" t="str">
        <x:v>Open</x:v>
      </x:c>
    </x:row>
    <x:row r="169">
      <x:c r="A169" s="33" t="str">
        <x:v>EX-168</x:v>
      </x:c>
      <x:c r="B169" s="33" t="str">
        <x:v>INV-044</x:v>
      </x:c>
      <x:c r="C169" s="33" t="str">
        <x:v>MediCare Pharma Distributors</x:v>
      </x:c>
      <x:c r="D169" s="33" t="str">
        <x:v>MCPD/2627/1418</x:v>
      </x:c>
      <x:c r="E169" s="33" t="str">
        <x:v>GSTIN active-status evidence missing</x:v>
      </x:c>
      <x:c r="F169" s="33" t="str">
        <x:v>GST</x:v>
      </x:c>
      <x:c r="G169" s="34" t="n">
        <x:v>17850</x:v>
      </x:c>
      <x:c r="H169" s="33" t="str">
        <x:v>Needs attention</x:v>
      </x:c>
      <x:c r="I169" s="33" t="str">
        <x:v>Check GST portal registration status and effective date.</x:v>
      </x:c>
      <x:c r="J169" s="33" t="str">
        <x:v>Tax team</x:v>
      </x:c>
      <x:c r="K169" s="33" t="str">
        <x:v>Open</x:v>
      </x:c>
    </x:row>
    <x:row r="170">
      <x:c r="A170" s="33" t="str">
        <x:v>EX-169</x:v>
      </x:c>
      <x:c r="B170" s="33" t="str">
        <x:v>INV-044</x:v>
      </x:c>
      <x:c r="C170" s="33" t="str">
        <x:v>MediCare Pharma Distributors</x:v>
      </x:c>
      <x:c r="D170" s="33" t="str">
        <x:v>MCPD/2627/1418</x:v>
      </x:c>
      <x:c r="E170" s="33" t="str">
        <x:v>GSTR-2B reconciliation not evidenced</x:v>
      </x:c>
      <x:c r="F170" s="33" t="str">
        <x:v>GST</x:v>
      </x:c>
      <x:c r="G170" s="34" t="n">
        <x:v>850</x:v>
      </x:c>
      <x:c r="H170" s="33" t="str">
        <x:v>Needs attention</x:v>
      </x:c>
      <x:c r="I170" s="33" t="str">
        <x:v>Reconcile invoice and ITC eligibility to GSTR-2B; retain export.</x:v>
      </x:c>
      <x:c r="J170" s="33" t="str">
        <x:v>GST team</x:v>
      </x:c>
      <x:c r="K170" s="33" t="str">
        <x:v>Open</x:v>
      </x:c>
    </x:row>
    <x:row r="171">
      <x:c r="A171" s="33" t="str">
        <x:v>EX-170</x:v>
      </x:c>
      <x:c r="B171" s="33" t="str">
        <x:v>INV-044</x:v>
      </x:c>
      <x:c r="C171" s="33" t="str">
        <x:v>MediCare Pharma Distributors</x:v>
      </x:c>
      <x:c r="D171" s="33" t="str">
        <x:v>MCPD/2627/1418</x:v>
      </x:c>
      <x:c r="E171" s="33" t="str">
        <x:v>Payment date / bank evidence missing</x:v>
      </x:c>
      <x:c r="F171" s="33" t="str">
        <x:v>GST / MSME</x:v>
      </x:c>
      <x:c r="G171" s="34" t="n">
        <x:v>17850</x:v>
      </x:c>
      <x:c r="H171" s="33" t="str">
        <x:v>Needs attention</x:v>
      </x:c>
      <x:c r="I171" s="33" t="str">
        <x:v>Enter payment date and bank reference; test 180-day ITC and 45-day MSME clocks.</x:v>
      </x:c>
      <x:c r="J171" s="33" t="str">
        <x:v>AP team</x:v>
      </x:c>
      <x:c r="K171" s="33" t="str">
        <x:v>Open</x:v>
      </x:c>
    </x:row>
    <x:row r="172">
      <x:c r="A172" s="33" t="str">
        <x:v>EX-171</x:v>
      </x:c>
      <x:c r="B172" s="33" t="str">
        <x:v>INV-044</x:v>
      </x:c>
      <x:c r="C172" s="33" t="str">
        <x:v>MediCare Pharma Distributors</x:v>
      </x:c>
      <x:c r="D172" s="33" t="str">
        <x:v>MCPD/2627/1418</x:v>
      </x:c>
      <x:c r="E172" s="33" t="str">
        <x:v>TDS deduction, deposit and return evidence missing (194Q)</x:v>
      </x:c>
      <x:c r="F172" s="33" t="str">
        <x:v>TDS</x:v>
      </x:c>
      <x:c r="G172" s="34" t="n">
        <x:v>17000</x:v>
      </x:c>
      <x:c r="H172" s="33" t="str">
        <x:v>Needs attention</x:v>
      </x:c>
      <x:c r="I172" s="33" t="str">
        <x:v>Apply only if buyer conditions and annual purchases threshold are met</x:v>
      </x:c>
      <x:c r="J172" s="33" t="str">
        <x:v>TDS team</x:v>
      </x:c>
      <x:c r="K172" s="33" t="str">
        <x:v>Open</x:v>
      </x:c>
    </x:row>
    <x:row r="173">
      <x:c r="A173" s="33" t="str">
        <x:v>EX-172</x:v>
      </x:c>
      <x:c r="B173" s="33" t="str">
        <x:v>INV-045</x:v>
      </x:c>
      <x:c r="C173" s="33" t="str">
        <x:v>Ramesh Electricals (Prop. Ramesh Pal)</x:v>
      </x:c>
      <x:c r="D173" s="33" t="str">
        <x:v>RE-33</x:v>
      </x:c>
      <x:c r="E173" s="33" t="str">
        <x:v>GSTIN active-status evidence missing</x:v>
      </x:c>
      <x:c r="F173" s="33" t="str">
        <x:v>GST</x:v>
      </x:c>
      <x:c r="G173" s="34" t="n">
        <x:v>28000</x:v>
      </x:c>
      <x:c r="H173" s="33" t="str">
        <x:v>Needs attention</x:v>
      </x:c>
      <x:c r="I173" s="33" t="str">
        <x:v>Check GST portal registration status and effective date.</x:v>
      </x:c>
      <x:c r="J173" s="33" t="str">
        <x:v>Tax team</x:v>
      </x:c>
      <x:c r="K173" s="33" t="str">
        <x:v>Open</x:v>
      </x:c>
    </x:row>
    <x:row r="174">
      <x:c r="A174" s="33" t="str">
        <x:v>EX-173</x:v>
      </x:c>
      <x:c r="B174" s="33" t="str">
        <x:v>INV-045</x:v>
      </x:c>
      <x:c r="C174" s="33" t="str">
        <x:v>Ramesh Electricals (Prop. Ramesh Pal)</x:v>
      </x:c>
      <x:c r="D174" s="33" t="str">
        <x:v>RE-33</x:v>
      </x:c>
      <x:c r="E174" s="33" t="str">
        <x:v>GSTR-2B reconciliation not evidenced</x:v>
      </x:c>
      <x:c r="F174" s="33" t="str">
        <x:v>GST</x:v>
      </x:c>
      <x:c r="G174" s="34" t="n">
        <x:v>0</x:v>
      </x:c>
      <x:c r="H174" s="33" t="str">
        <x:v>Needs attention</x:v>
      </x:c>
      <x:c r="I174" s="33" t="str">
        <x:v>Reconcile invoice and ITC eligibility to GSTR-2B; retain export.</x:v>
      </x:c>
      <x:c r="J174" s="33" t="str">
        <x:v>GST team</x:v>
      </x:c>
      <x:c r="K174" s="33" t="str">
        <x:v>Open</x:v>
      </x:c>
    </x:row>
    <x:row r="175">
      <x:c r="A175" s="33" t="str">
        <x:v>EX-174</x:v>
      </x:c>
      <x:c r="B175" s="33" t="str">
        <x:v>INV-045</x:v>
      </x:c>
      <x:c r="C175" s="33" t="str">
        <x:v>Ramesh Electricals (Prop. Ramesh Pal)</x:v>
      </x:c>
      <x:c r="D175" s="33" t="str">
        <x:v>RE-33</x:v>
      </x:c>
      <x:c r="E175" s="33" t="str">
        <x:v>Payment date / bank evidence missing</x:v>
      </x:c>
      <x:c r="F175" s="33" t="str">
        <x:v>GST / MSME</x:v>
      </x:c>
      <x:c r="G175" s="34" t="n">
        <x:v>28000</x:v>
      </x:c>
      <x:c r="H175" s="33" t="str">
        <x:v>Needs attention</x:v>
      </x:c>
      <x:c r="I175" s="33" t="str">
        <x:v>Enter payment date and bank reference; test 180-day ITC and 45-day MSME clocks.</x:v>
      </x:c>
      <x:c r="J175" s="33" t="str">
        <x:v>AP team</x:v>
      </x:c>
      <x:c r="K175" s="33" t="str">
        <x:v>Open</x:v>
      </x:c>
    </x:row>
    <x:row r="176">
      <x:c r="A176" s="33" t="str">
        <x:v>EX-175</x:v>
      </x:c>
      <x:c r="B176" s="33" t="str">
        <x:v>INV-046</x:v>
      </x:c>
      <x:c r="C176" s="33" t="str">
        <x:v>Buildcraft Interiors LLP</x:v>
      </x:c>
      <x:c r="D176" s="33" t="str">
        <x:v>BCI/HR/2627/019</x:v>
      </x:c>
      <x:c r="E176" s="33" t="str">
        <x:v>GSTIN active-status evidence missing</x:v>
      </x:c>
      <x:c r="F176" s="33" t="str">
        <x:v>GST</x:v>
      </x:c>
      <x:c r="G176" s="34" t="n">
        <x:v>2183000</x:v>
      </x:c>
      <x:c r="H176" s="33" t="str">
        <x:v>Needs attention</x:v>
      </x:c>
      <x:c r="I176" s="33" t="str">
        <x:v>Check GST portal registration status and effective date.</x:v>
      </x:c>
      <x:c r="J176" s="33" t="str">
        <x:v>Tax team</x:v>
      </x:c>
      <x:c r="K176" s="33" t="str">
        <x:v>Open</x:v>
      </x:c>
    </x:row>
    <x:row r="177">
      <x:c r="A177" s="33" t="str">
        <x:v>EX-176</x:v>
      </x:c>
      <x:c r="B177" s="33" t="str">
        <x:v>INV-046</x:v>
      </x:c>
      <x:c r="C177" s="33" t="str">
        <x:v>Buildcraft Interiors LLP</x:v>
      </x:c>
      <x:c r="D177" s="33" t="str">
        <x:v>BCI/HR/2627/019</x:v>
      </x:c>
      <x:c r="E177" s="33" t="str">
        <x:v>GSTR-2B reconciliation not evidenced</x:v>
      </x:c>
      <x:c r="F177" s="33" t="str">
        <x:v>GST</x:v>
      </x:c>
      <x:c r="G177" s="34" t="n">
        <x:v>333000</x:v>
      </x:c>
      <x:c r="H177" s="33" t="str">
        <x:v>Needs attention</x:v>
      </x:c>
      <x:c r="I177" s="33" t="str">
        <x:v>Reconcile invoice and ITC eligibility to GSTR-2B; retain export.</x:v>
      </x:c>
      <x:c r="J177" s="33" t="str">
        <x:v>GST team</x:v>
      </x:c>
      <x:c r="K177" s="33" t="str">
        <x:v>Open</x:v>
      </x:c>
    </x:row>
    <x:row r="178">
      <x:c r="A178" s="33" t="str">
        <x:v>EX-177</x:v>
      </x:c>
      <x:c r="B178" s="33" t="str">
        <x:v>INV-046</x:v>
      </x:c>
      <x:c r="C178" s="33" t="str">
        <x:v>Buildcraft Interiors LLP</x:v>
      </x:c>
      <x:c r="D178" s="33" t="str">
        <x:v>BCI/HR/2627/019</x:v>
      </x:c>
      <x:c r="E178" s="33" t="str">
        <x:v>Payment date / bank evidence missing</x:v>
      </x:c>
      <x:c r="F178" s="33" t="str">
        <x:v>GST / MSME</x:v>
      </x:c>
      <x:c r="G178" s="34" t="n">
        <x:v>2183000</x:v>
      </x:c>
      <x:c r="H178" s="33" t="str">
        <x:v>Needs attention</x:v>
      </x:c>
      <x:c r="I178" s="33" t="str">
        <x:v>Enter payment date and bank reference; test 180-day ITC and 45-day MSME clocks.</x:v>
      </x:c>
      <x:c r="J178" s="33" t="str">
        <x:v>AP team</x:v>
      </x:c>
      <x:c r="K178" s="33" t="str">
        <x:v>Open</x:v>
      </x:c>
    </x:row>
    <x:row r="179">
      <x:c r="A179" s="33" t="str">
        <x:v>EX-178</x:v>
      </x:c>
      <x:c r="B179" s="33" t="str">
        <x:v>INV-046</x:v>
      </x:c>
      <x:c r="C179" s="33" t="str">
        <x:v>Buildcraft Interiors LLP</x:v>
      </x:c>
      <x:c r="D179" s="33" t="str">
        <x:v>BCI/HR/2627/019</x:v>
      </x:c>
      <x:c r="E179" s="33" t="str">
        <x:v>TDS deduction, deposit and return evidence missing (194C)</x:v>
      </x:c>
      <x:c r="F179" s="33" t="str">
        <x:v>TDS</x:v>
      </x:c>
      <x:c r="G179" s="34" t="n">
        <x:v>1850000</x:v>
      </x:c>
      <x:c r="H179" s="33" t="str">
        <x:v>Needs attention</x:v>
      </x:c>
      <x:c r="I179" s="33" t="str">
        <x:v>Confirm payee constitution; individual/HUF rate may be 1%</x:v>
      </x:c>
      <x:c r="J179" s="33" t="str">
        <x:v>TDS team</x:v>
      </x:c>
      <x:c r="K179" s="33" t="str">
        <x:v>Open</x:v>
      </x:c>
    </x:row>
    <x:row r="180">
      <x:c r="A180" s="33" t="str">
        <x:v>EX-179</x:v>
      </x:c>
      <x:c r="B180" s="33" t="str">
        <x:v>INV-047</x:v>
      </x:c>
      <x:c r="C180" s="33" t="str">
        <x:v>Sethi Architects</x:v>
      </x:c>
      <x:c r="D180" s="33" t="str">
        <x:v>SA/ARC/26-27/05</x:v>
      </x:c>
      <x:c r="E180" s="33" t="str">
        <x:v>GSTIN active-status evidence missing</x:v>
      </x:c>
      <x:c r="F180" s="33" t="str">
        <x:v>GST</x:v>
      </x:c>
      <x:c r="G180" s="34" t="n">
        <x:v>271400</x:v>
      </x:c>
      <x:c r="H180" s="33" t="str">
        <x:v>Needs attention</x:v>
      </x:c>
      <x:c r="I180" s="33" t="str">
        <x:v>Check GST portal registration status and effective date.</x:v>
      </x:c>
      <x:c r="J180" s="33" t="str">
        <x:v>Tax team</x:v>
      </x:c>
      <x:c r="K180" s="33" t="str">
        <x:v>Open</x:v>
      </x:c>
    </x:row>
    <x:row r="181">
      <x:c r="A181" s="33" t="str">
        <x:v>EX-180</x:v>
      </x:c>
      <x:c r="B181" s="33" t="str">
        <x:v>INV-047</x:v>
      </x:c>
      <x:c r="C181" s="33" t="str">
        <x:v>Sethi Architects</x:v>
      </x:c>
      <x:c r="D181" s="33" t="str">
        <x:v>SA/ARC/26-27/05</x:v>
      </x:c>
      <x:c r="E181" s="33" t="str">
        <x:v>GSTR-2B reconciliation not evidenced</x:v>
      </x:c>
      <x:c r="F181" s="33" t="str">
        <x:v>GST</x:v>
      </x:c>
      <x:c r="G181" s="34" t="n">
        <x:v>36000</x:v>
      </x:c>
      <x:c r="H181" s="33" t="str">
        <x:v>Needs attention</x:v>
      </x:c>
      <x:c r="I181" s="33" t="str">
        <x:v>Reconcile invoice and ITC eligibility to GSTR-2B; retain export.</x:v>
      </x:c>
      <x:c r="J181" s="33" t="str">
        <x:v>GST team</x:v>
      </x:c>
      <x:c r="K181" s="33" t="str">
        <x:v>Open</x:v>
      </x:c>
    </x:row>
    <x:row r="182">
      <x:c r="A182" s="33" t="str">
        <x:v>EX-181</x:v>
      </x:c>
      <x:c r="B182" s="33" t="str">
        <x:v>INV-047</x:v>
      </x:c>
      <x:c r="C182" s="33" t="str">
        <x:v>Sethi Architects</x:v>
      </x:c>
      <x:c r="D182" s="33" t="str">
        <x:v>SA/ARC/26-27/05</x:v>
      </x:c>
      <x:c r="E182" s="33" t="str">
        <x:v>Payment date / bank evidence missing</x:v>
      </x:c>
      <x:c r="F182" s="33" t="str">
        <x:v>GST / MSME</x:v>
      </x:c>
      <x:c r="G182" s="34" t="n">
        <x:v>271400</x:v>
      </x:c>
      <x:c r="H182" s="33" t="str">
        <x:v>Needs attention</x:v>
      </x:c>
      <x:c r="I182" s="33" t="str">
        <x:v>Enter payment date and bank reference; test 180-day ITC and 45-day MSME clocks.</x:v>
      </x:c>
      <x:c r="J182" s="33" t="str">
        <x:v>AP team</x:v>
      </x:c>
      <x:c r="K182" s="33" t="str">
        <x:v>Open</x:v>
      </x:c>
    </x:row>
    <x:row r="183">
      <x:c r="A183" s="33" t="str">
        <x:v>EX-182</x:v>
      </x:c>
      <x:c r="B183" s="33" t="str">
        <x:v>INV-047</x:v>
      </x:c>
      <x:c r="C183" s="33" t="str">
        <x:v>Sethi Architects</x:v>
      </x:c>
      <x:c r="D183" s="33" t="str">
        <x:v>SA/ARC/26-27/05</x:v>
      </x:c>
      <x:c r="E183" s="33" t="str">
        <x:v>TDS deduction, deposit and return evidence missing (194J)</x:v>
      </x:c>
      <x:c r="F183" s="33" t="str">
        <x:v>TDS</x:v>
      </x:c>
      <x:c r="G183" s="34" t="n">
        <x:v>235400</x:v>
      </x:c>
      <x:c r="H183" s="33" t="str">
        <x:v>Needs attention</x:v>
      </x:c>
      <x:c r="I183" s="33" t="str">
        <x:v>Classify professional vs technical and confirm rate</x:v>
      </x:c>
      <x:c r="J183" s="33" t="str">
        <x:v>TDS team</x:v>
      </x:c>
      <x:c r="K183" s="33" t="str">
        <x:v>Open</x:v>
      </x:c>
    </x:row>
    <x:row r="184">
      <x:c r="A184" s="33" t="str">
        <x:v>EX-183</x:v>
      </x:c>
      <x:c r="B184" s="33" t="str">
        <x:v>INV-048</x:v>
      </x:c>
      <x:c r="C184" s="33" t="str">
        <x:v>Swachh Facility Services</x:v>
      </x:c>
      <x:c r="D184" s="33" t="str"/>
      <x:c r="E184" s="33" t="str">
        <x:v>GSTIN active-status evidence missing</x:v>
      </x:c>
      <x:c r="F184" s="33" t="str">
        <x:v>GST</x:v>
      </x:c>
      <x:c r="G184" s="34" t="n">
        <x:v>16850.4</x:v>
      </x:c>
      <x:c r="H184" s="33" t="str">
        <x:v>Needs attention</x:v>
      </x:c>
      <x:c r="I184" s="33" t="str">
        <x:v>Check GST portal registration status and effective date.</x:v>
      </x:c>
      <x:c r="J184" s="33" t="str">
        <x:v>Tax team</x:v>
      </x:c>
      <x:c r="K184" s="33" t="str">
        <x:v>Open</x:v>
      </x:c>
    </x:row>
    <x:row r="185">
      <x:c r="A185" s="33" t="str">
        <x:v>EX-184</x:v>
      </x:c>
      <x:c r="B185" s="33" t="str">
        <x:v>INV-048</x:v>
      </x:c>
      <x:c r="C185" s="33" t="str">
        <x:v>Swachh Facility Services</x:v>
      </x:c>
      <x:c r="D185" s="33" t="str"/>
      <x:c r="E185" s="33" t="str">
        <x:v>GSTR-2B reconciliation not evidenced</x:v>
      </x:c>
      <x:c r="F185" s="33" t="str">
        <x:v>GST</x:v>
      </x:c>
      <x:c r="G185" s="34" t="n">
        <x:v>2570.4</x:v>
      </x:c>
      <x:c r="H185" s="33" t="str">
        <x:v>Needs attention</x:v>
      </x:c>
      <x:c r="I185" s="33" t="str">
        <x:v>Reconcile invoice and ITC eligibility to GSTR-2B; retain export.</x:v>
      </x:c>
      <x:c r="J185" s="33" t="str">
        <x:v>GST team</x:v>
      </x:c>
      <x:c r="K185" s="33" t="str">
        <x:v>Open</x:v>
      </x:c>
    </x:row>
    <x:row r="186">
      <x:c r="A186" s="33" t="str">
        <x:v>EX-185</x:v>
      </x:c>
      <x:c r="B186" s="33" t="str">
        <x:v>INV-048</x:v>
      </x:c>
      <x:c r="C186" s="33" t="str">
        <x:v>Swachh Facility Services</x:v>
      </x:c>
      <x:c r="D186" s="33" t="str"/>
      <x:c r="E186" s="33" t="str">
        <x:v>Payment date / bank evidence missing</x:v>
      </x:c>
      <x:c r="F186" s="33" t="str">
        <x:v>GST / MSME</x:v>
      </x:c>
      <x:c r="G186" s="34" t="n">
        <x:v>16850.4</x:v>
      </x:c>
      <x:c r="H186" s="33" t="str">
        <x:v>Needs attention</x:v>
      </x:c>
      <x:c r="I186" s="33" t="str">
        <x:v>Enter payment date and bank reference; test 180-day ITC and 45-day MSME clocks.</x:v>
      </x:c>
      <x:c r="J186" s="33" t="str">
        <x:v>AP team</x:v>
      </x:c>
      <x:c r="K186" s="33" t="str">
        <x:v>Open</x:v>
      </x:c>
    </x:row>
    <x:row r="187">
      <x:c r="A187" s="33" t="str">
        <x:v>EX-186</x:v>
      </x:c>
      <x:c r="B187" s="33" t="str">
        <x:v>INV-049</x:v>
      </x:c>
      <x:c r="C187" s="33" t="str">
        <x:v>Bharat Infra Works</x:v>
      </x:c>
      <x:c r="D187" s="33" t="str">
        <x:v>BIW/PI/2026/07</x:v>
      </x:c>
      <x:c r="E187" s="33" t="str">
        <x:v>GSTIN active-status evidence missing</x:v>
      </x:c>
      <x:c r="F187" s="33" t="str">
        <x:v>GST</x:v>
      </x:c>
      <x:c r="G187" s="34" t="n">
        <x:v>708000</x:v>
      </x:c>
      <x:c r="H187" s="33" t="str">
        <x:v>Needs attention</x:v>
      </x:c>
      <x:c r="I187" s="33" t="str">
        <x:v>Check GST portal registration status and effective date.</x:v>
      </x:c>
      <x:c r="J187" s="33" t="str">
        <x:v>Tax team</x:v>
      </x:c>
      <x:c r="K187" s="33" t="str">
        <x:v>Open</x:v>
      </x:c>
    </x:row>
    <x:row r="188">
      <x:c r="A188" s="33" t="str">
        <x:v>EX-187</x:v>
      </x:c>
      <x:c r="B188" s="33" t="str">
        <x:v>INV-049</x:v>
      </x:c>
      <x:c r="C188" s="33" t="str">
        <x:v>Bharat Infra Works</x:v>
      </x:c>
      <x:c r="D188" s="33" t="str">
        <x:v>BIW/PI/2026/07</x:v>
      </x:c>
      <x:c r="E188" s="33" t="str">
        <x:v>GSTR-2B reconciliation not evidenced</x:v>
      </x:c>
      <x:c r="F188" s="33" t="str">
        <x:v>GST</x:v>
      </x:c>
      <x:c r="G188" s="34" t="n">
        <x:v>108000</x:v>
      </x:c>
      <x:c r="H188" s="33" t="str">
        <x:v>Needs attention</x:v>
      </x:c>
      <x:c r="I188" s="33" t="str">
        <x:v>Reconcile invoice and ITC eligibility to GSTR-2B; retain export.</x:v>
      </x:c>
      <x:c r="J188" s="33" t="str">
        <x:v>GST team</x:v>
      </x:c>
      <x:c r="K188" s="33" t="str">
        <x:v>Open</x:v>
      </x:c>
    </x:row>
    <x:row r="189">
      <x:c r="A189" s="33" t="str">
        <x:v>EX-188</x:v>
      </x:c>
      <x:c r="B189" s="33" t="str">
        <x:v>INV-049</x:v>
      </x:c>
      <x:c r="C189" s="33" t="str">
        <x:v>Bharat Infra Works</x:v>
      </x:c>
      <x:c r="D189" s="33" t="str">
        <x:v>BIW/PI/2026/07</x:v>
      </x:c>
      <x:c r="E189" s="33" t="str">
        <x:v>Payment date / bank evidence missing</x:v>
      </x:c>
      <x:c r="F189" s="33" t="str">
        <x:v>GST / MSME</x:v>
      </x:c>
      <x:c r="G189" s="34" t="n">
        <x:v>708000</x:v>
      </x:c>
      <x:c r="H189" s="33" t="str">
        <x:v>Needs attention</x:v>
      </x:c>
      <x:c r="I189" s="33" t="str">
        <x:v>Enter payment date and bank reference; test 180-day ITC and 45-day MSME clocks.</x:v>
      </x:c>
      <x:c r="J189" s="33" t="str">
        <x:v>AP team</x:v>
      </x:c>
      <x:c r="K189" s="33" t="str">
        <x:v>Open</x:v>
      </x:c>
    </x:row>
    <x:row r="190">
      <x:c r="A190" s="33" t="str">
        <x:v>EX-189</x:v>
      </x:c>
      <x:c r="B190" s="33" t="str">
        <x:v>INV-050</x:v>
      </x:c>
      <x:c r="C190" s="33" t="str">
        <x:v>Indian EdTech Industry Association</x:v>
      </x:c>
      <x:c r="D190" s="33" t="str">
        <x:v>IEIA/MEM/2026/219</x:v>
      </x:c>
      <x:c r="E190" s="33" t="str">
        <x:v>GSTIN active-status evidence missing</x:v>
      </x:c>
      <x:c r="F190" s="33" t="str">
        <x:v>GST</x:v>
      </x:c>
      <x:c r="G190" s="34" t="n">
        <x:v>59000</x:v>
      </x:c>
      <x:c r="H190" s="33" t="str">
        <x:v>Needs attention</x:v>
      </x:c>
      <x:c r="I190" s="33" t="str">
        <x:v>Check GST portal registration status and effective date.</x:v>
      </x:c>
      <x:c r="J190" s="33" t="str">
        <x:v>Tax team</x:v>
      </x:c>
      <x:c r="K190" s="33" t="str">
        <x:v>Open</x:v>
      </x:c>
    </x:row>
    <x:row r="191">
      <x:c r="A191" s="33" t="str">
        <x:v>EX-190</x:v>
      </x:c>
      <x:c r="B191" s="33" t="str">
        <x:v>INV-050</x:v>
      </x:c>
      <x:c r="C191" s="33" t="str">
        <x:v>Indian EdTech Industry Association</x:v>
      </x:c>
      <x:c r="D191" s="33" t="str">
        <x:v>IEIA/MEM/2026/219</x:v>
      </x:c>
      <x:c r="E191" s="33" t="str">
        <x:v>GSTR-2B reconciliation not evidenced</x:v>
      </x:c>
      <x:c r="F191" s="33" t="str">
        <x:v>GST</x:v>
      </x:c>
      <x:c r="G191" s="34" t="n">
        <x:v>9000</x:v>
      </x:c>
      <x:c r="H191" s="33" t="str">
        <x:v>Needs attention</x:v>
      </x:c>
      <x:c r="I191" s="33" t="str">
        <x:v>Reconcile invoice and ITC eligibility to GSTR-2B; retain export.</x:v>
      </x:c>
      <x:c r="J191" s="33" t="str">
        <x:v>GST team</x:v>
      </x:c>
      <x:c r="K191" s="33" t="str">
        <x:v>Open</x:v>
      </x:c>
    </x:row>
    <x:row r="192">
      <x:c r="A192" s="33" t="str">
        <x:v>EX-191</x:v>
      </x:c>
      <x:c r="B192" s="33" t="str">
        <x:v>INV-050</x:v>
      </x:c>
      <x:c r="C192" s="33" t="str">
        <x:v>Indian EdTech Industry Association</x:v>
      </x:c>
      <x:c r="D192" s="33" t="str">
        <x:v>IEIA/MEM/2026/219</x:v>
      </x:c>
      <x:c r="E192" s="33" t="str">
        <x:v>Payment date / bank evidence missing</x:v>
      </x:c>
      <x:c r="F192" s="33" t="str">
        <x:v>GST / MSME</x:v>
      </x:c>
      <x:c r="G192" s="34" t="n">
        <x:v>59000</x:v>
      </x:c>
      <x:c r="H192" s="33" t="str">
        <x:v>Needs attention</x:v>
      </x:c>
      <x:c r="I192" s="33" t="str">
        <x:v>Enter payment date and bank reference; test 180-day ITC and 45-day MSME clocks.</x:v>
      </x:c>
      <x:c r="J192" s="33" t="str">
        <x:v>AP team</x:v>
      </x:c>
      <x:c r="K192" s="33" t="str">
        <x:v>Open</x:v>
      </x:c>
    </x:row>
  </x:sheetData>
  <x:conditionalFormatting sqref="H2:H192">
    <x:cfRule type="containsText" dxfId="4" priority="1" operator="containsText" text="High risk"/>
    <x:cfRule type="containsText" dxfId="5" priority="2" operator="containsText" text="Needs attention"/>
  </x:conditionalFormatting>
  <x:pageMargins left="0.7" right="0.7" top="0.75" bottom="0.75" header="0.3" footer="0.3"/>
  <x:tableParts count="1">
    <x:tablePart xmlns:r="http://schemas.openxmlformats.org/officeDocument/2006/relationships" r:id="R05505da8a7e7434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75" hidden="0" customWidth="1"/>
    <x:col min="2" max="2" width="32" hidden="0" customWidth="1"/>
    <x:col min="3" max="3" width="11.380000114440918" hidden="0" customWidth="1"/>
    <x:col min="4" max="4" width="16.3799991607666" hidden="0" customWidth="1"/>
    <x:col min="5" max="5" width="11.630000114440918" hidden="0" customWidth="1"/>
    <x:col min="6" max="6" width="14.75" hidden="0" customWidth="1"/>
    <x:col min="7" max="7" width="19" hidden="0" customWidth="1"/>
    <x:col min="8" max="8" width="22.5" hidden="0" customWidth="1"/>
    <x:col min="9" max="9" width="10.5" hidden="0" customWidth="1"/>
    <x:col min="10" max="10" width="11.630000114440918" hidden="0" customWidth="1"/>
    <x:col min="11" max="11" width="11.5" hidden="0" customWidth="1"/>
    <x:col min="12" max="12" width="10.630000114440918" hidden="0" customWidth="1"/>
    <x:col min="13" max="13" width="18.5" hidden="0" customWidth="1"/>
    <x:col min="14" max="14" width="48" hidden="0" customWidth="1"/>
  </x:cols>
  <x:sheetData>
    <x:row r="1" ht="15" hidden="0" customHeight="1">
      <x:c r="A1" s="28" t="str">
        <x:v>Vendor Key</x:v>
      </x:c>
      <x:c r="B1" s="28" t="str">
        <x:v>Vendor Name</x:v>
      </x:c>
      <x:c r="C1" s="28" t="str">
        <x:v>PAN</x:v>
      </x:c>
      <x:c r="D1" s="28" t="str">
        <x:v>GSTIN</x:v>
      </x:c>
      <x:c r="E1" s="28" t="str">
        <x:v>PAN ↔ GSTIN</x:v>
      </x:c>
      <x:c r="F1" s="28" t="str">
        <x:v>GST Portal Status</x:v>
      </x:c>
      <x:c r="G1" s="28" t="str">
        <x:v>Udyam Registration</x:v>
      </x:c>
      <x:c r="H1" s="28" t="str">
        <x:v>MSME Class</x:v>
      </x:c>
      <x:c r="I1" s="28" t="str">
        <x:v>Vendor Type</x:v>
      </x:c>
      <x:c r="J1" s="28" t="str">
        <x:v>Invoice Count</x:v>
      </x:c>
      <x:c r="K1" s="28" t="str">
        <x:v>Taxable Value</x:v>
      </x:c>
      <x:c r="L1" s="28" t="str">
        <x:v>Invoice Total</x:v>
      </x:c>
      <x:c r="M1" s="28" t="str">
        <x:v>Master Cleanup Status</x:v>
      </x:c>
      <x:c r="N1" s="28" t="str">
        <x:v>Required Cleanup / Evidence</x:v>
      </x:c>
    </x:row>
    <x:row r="2" ht="15" hidden="0" customHeight="1">
      <x:c r="A2" s="33" t="str">
        <x:v>VEN-001</x:v>
      </x:c>
      <x:c r="B2" s="33" t="str">
        <x:v>Mehra &amp; Associates, Chartered Accountants</x:v>
      </x:c>
      <x:c r="C2" s="11" t="str">
        <x:v>AAPFM5521K</x:v>
      </x:c>
      <x:c r="D2" s="11" t="str">
        <x:v>07AAPFM5521K1ZY</x:v>
      </x:c>
      <x:c r="E2" s="33" t="str">
        <x:f>IF(AND(LEN(C2)=10,MID(D2,3,10)=C2),"Matches","Mismatch")</x:f>
        <x:v>Matches</x:v>
      </x:c>
      <x:c r="F2" s="33" t="str">
        <x:v>Not verified</x:v>
      </x:c>
      <x:c r="G2" s="33" t="str">
        <x:v>UDYAM-DL-08-0045123</x:v>
      </x:c>
      <x:c r="H2" s="33" t="str">
        <x:v>Micro Enterprise (Services)</x:v>
      </x:c>
      <x:c r="I2" s="33" t="str">
        <x:v>Domestic</x:v>
      </x:c>
      <x:c r="J2" s="33" t="n">
        <x:f>COUNTIF('Invoice Compliance'!$E$2:$E$51,C2)</x:f>
        <x:v>1</x:v>
      </x:c>
      <x:c r="K2" s="34" t="n">
        <x:f>SUMIF('Invoice Compliance'!$E$2:$E$51,C2,'Invoice Compliance'!$T$2:$T$51)</x:f>
        <x:v>450000</x:v>
      </x:c>
      <x:c r="L2" s="34" t="n">
        <x:f>SUMIF('Invoice Compliance'!$E$2:$E$51,C2,'Invoice Compliance'!$Y$2:$Y$51)</x:f>
        <x:v>531000</x:v>
      </x:c>
      <x:c r="M2" s="33" t="str">
        <x:f>IF(OR(E2="Mismatch",F2&lt;&gt;"Active"),"Needs attention","Compliant")</x:f>
        <x:v>Needs attention</x:v>
      </x:c>
      <x:c r="N2" s="33" t="str">
        <x:v>Verify PAN status, GSTIN active status, bank proof, contact, address and MSME/Udyam evidence</x:v>
      </x:c>
    </x:row>
    <x:row r="3" ht="15" hidden="0" customHeight="1">
      <x:c r="A3" s="33" t="str">
        <x:v>VEN-002</x:v>
      </x:c>
      <x:c r="B3" s="33" t="str">
        <x:v>Cloudnest Technologies Private Limited</x:v>
      </x:c>
      <x:c r="C3" s="11" t="str">
        <x:v>AAGCC7734L</x:v>
      </x:c>
      <x:c r="D3" s="11" t="str">
        <x:v>29AAGCC7734L1Z4</x:v>
      </x:c>
      <x:c r="E3" s="33" t="str">
        <x:f>IF(AND(LEN(C3)=10,MID(D3,3,10)=C3),"Matches","Mismatch")</x:f>
        <x:v>Matches</x:v>
      </x:c>
      <x:c r="F3" s="33" t="str">
        <x:v>Not verified</x:v>
      </x:c>
      <x:c r="G3" s="33" t="str">
        <x:v>UDYAM-KR-03-0118842</x:v>
      </x:c>
      <x:c r="H3" s="33" t="str">
        <x:v>Small Enterprise (Services)</x:v>
      </x:c>
      <x:c r="I3" s="33" t="str">
        <x:v>Domestic</x:v>
      </x:c>
      <x:c r="J3" s="33" t="n">
        <x:f>COUNTIF('Invoice Compliance'!$E$2:$E$51,C3)</x:f>
        <x:v>1</x:v>
      </x:c>
      <x:c r="K3" s="34" t="n">
        <x:f>SUMIF('Invoice Compliance'!$E$2:$E$51,C3,'Invoice Compliance'!$T$2:$T$51)</x:f>
        <x:v>320000</x:v>
      </x:c>
      <x:c r="L3" s="34" t="n">
        <x:f>SUMIF('Invoice Compliance'!$E$2:$E$51,C3,'Invoice Compliance'!$Y$2:$Y$51)</x:f>
        <x:v>377600</x:v>
      </x:c>
      <x:c r="M3" s="33" t="str">
        <x:f>IF(OR(E3="Mismatch",F3&lt;&gt;"Active"),"Needs attention","Compliant")</x:f>
        <x:v>Needs attention</x:v>
      </x:c>
      <x:c r="N3" s="33" t="str">
        <x:v>Verify PAN status, GSTIN active status, bank proof, contact, address and MSME/Udyam evidence</x:v>
      </x:c>
    </x:row>
    <x:row r="4" ht="15" hidden="0" customHeight="1">
      <x:c r="A4" s="33" t="str">
        <x:v>VEN-003</x:v>
      </x:c>
      <x:c r="B4" s="33" t="str">
        <x:v>Ritika Sharma (Interior Design Consultant)</x:v>
      </x:c>
      <x:c r="C4" s="11" t="str">
        <x:v>BQSPS4410D</x:v>
      </x:c>
      <x:c r="D4" s="11" t="str">
        <x:v>06BQSPS4410D1ZT</x:v>
      </x:c>
      <x:c r="E4" s="33" t="str">
        <x:f>IF(AND(LEN(C4)=10,MID(D4,3,10)=C4),"Matches","Mismatch")</x:f>
        <x:v>Matches</x:v>
      </x:c>
      <x:c r="F4" s="33" t="str">
        <x:v>Not verified</x:v>
      </x:c>
      <x:c r="G4" s="33" t="str"/>
      <x:c r="H4" s="33" t="str"/>
      <x:c r="I4" s="33" t="str">
        <x:v>Domestic</x:v>
      </x:c>
      <x:c r="J4" s="33" t="n">
        <x:f>COUNTIF('Invoice Compliance'!$E$2:$E$51,C4)</x:f>
        <x:v>1</x:v>
      </x:c>
      <x:c r="K4" s="34" t="n">
        <x:f>SUMIF('Invoice Compliance'!$E$2:$E$51,C4,'Invoice Compliance'!$T$2:$T$51)</x:f>
        <x:v>110000</x:v>
      </x:c>
      <x:c r="L4" s="34" t="n">
        <x:f>SUMIF('Invoice Compliance'!$E$2:$E$51,C4,'Invoice Compliance'!$Y$2:$Y$51)</x:f>
        <x:v>129800</x:v>
      </x:c>
      <x:c r="M4" s="33" t="str">
        <x:f>IF(OR(E4="Mismatch",F4&lt;&gt;"Active"),"Needs attention","Compliant")</x:f>
        <x:v>Needs attention</x:v>
      </x:c>
      <x:c r="N4" s="33" t="str">
        <x:v>Verify PAN status, GSTIN active status, bank proof, contact, address and MSME/Udyam evidence</x:v>
      </x:c>
    </x:row>
    <x:row r="5" ht="15" hidden="0" customHeight="1">
      <x:c r="A5" s="33" t="str">
        <x:v>VEN-004</x:v>
      </x:c>
      <x:c r="B5" s="33" t="str">
        <x:v>Swachh Facility Services</x:v>
      </x:c>
      <x:c r="C5" s="11" t="str">
        <x:v>AAXFS2290R</x:v>
      </x:c>
      <x:c r="D5" s="11" t="str">
        <x:v>07AAXFS2290R1Z2</x:v>
      </x:c>
      <x:c r="E5" s="33" t="str">
        <x:f>IF(AND(LEN(C5)=10,MID(D5,3,10)=C5),"Matches","Mismatch")</x:f>
        <x:v>Matches</x:v>
      </x:c>
      <x:c r="F5" s="33" t="str">
        <x:v>Not verified</x:v>
      </x:c>
      <x:c r="G5" s="33" t="str">
        <x:v>UDYAM-DL-08-0077310</x:v>
      </x:c>
      <x:c r="H5" s="33" t="str">
        <x:v>Micro Enterprise (Services)</x:v>
      </x:c>
      <x:c r="I5" s="33" t="str">
        <x:v>Domestic</x:v>
      </x:c>
      <x:c r="J5" s="33" t="n">
        <x:f>COUNTIF('Invoice Compliance'!$E$2:$E$51,C5)</x:f>
        <x:v>2</x:v>
      </x:c>
      <x:c r="K5" s="34" t="n">
        <x:f>SUMIF('Invoice Compliance'!$E$2:$E$51,C5,'Invoice Compliance'!$T$2:$T$51)</x:f>
        <x:v>140280</x:v>
      </x:c>
      <x:c r="L5" s="34" t="n">
        <x:f>SUMIF('Invoice Compliance'!$E$2:$E$51,C5,'Invoice Compliance'!$Y$2:$Y$51)</x:f>
        <x:v>165530.4</x:v>
      </x:c>
      <x:c r="M5" s="33" t="str">
        <x:f>IF(OR(E5="Mismatch",F5&lt;&gt;"Active"),"Needs attention","Compliant")</x:f>
        <x:v>Needs attention</x:v>
      </x:c>
      <x:c r="N5" s="33" t="str">
        <x:v>Verify PAN status, GSTIN active status, bank proof, contact, address and MSME/Udyam evidence</x:v>
      </x:c>
    </x:row>
    <x:row r="6" ht="15" hidden="0" customHeight="1">
      <x:c r="A6" s="33" t="str">
        <x:v>VEN-005</x:v>
      </x:c>
      <x:c r="B6" s="33" t="str">
        <x:v>Om Sai Enterprises (Prop. Rajesh Kumar)</x:v>
      </x:c>
      <x:c r="C6" s="11" t="str">
        <x:v>CKZPK6619H</x:v>
      </x:c>
      <x:c r="D6" s="11" t="str">
        <x:v>07CKZPK6619H1ZG</x:v>
      </x:c>
      <x:c r="E6" s="33" t="str">
        <x:f>IF(AND(LEN(C6)=10,MID(D6,3,10)=C6),"Matches","Mismatch")</x:f>
        <x:v>Matches</x:v>
      </x:c>
      <x:c r="F6" s="33" t="str">
        <x:v>Not verified</x:v>
      </x:c>
      <x:c r="G6" s="33" t="str">
        <x:v>UDYAM-DL-11-0031908</x:v>
      </x:c>
      <x:c r="H6" s="33" t="str">
        <x:v>Micro Enterprise (Services)</x:v>
      </x:c>
      <x:c r="I6" s="33" t="str">
        <x:v>Domestic</x:v>
      </x:c>
      <x:c r="J6" s="33" t="n">
        <x:f>COUNTIF('Invoice Compliance'!$E$2:$E$51,C6)</x:f>
        <x:v>1</x:v>
      </x:c>
      <x:c r="K6" s="34" t="n">
        <x:f>SUMIF('Invoice Compliance'!$E$2:$E$51,C6,'Invoice Compliance'!$T$2:$T$51)</x:f>
        <x:v>37000</x:v>
      </x:c>
      <x:c r="L6" s="34" t="n">
        <x:f>SUMIF('Invoice Compliance'!$E$2:$E$51,C6,'Invoice Compliance'!$Y$2:$Y$51)</x:f>
        <x:v>43660</x:v>
      </x:c>
      <x:c r="M6" s="33" t="str">
        <x:f>IF(OR(E6="Mismatch",F6&lt;&gt;"Active"),"Needs attention","Compliant")</x:f>
        <x:v>Needs attention</x:v>
      </x:c>
      <x:c r="N6" s="33" t="str">
        <x:v>Verify PAN status, GSTIN active status, bank proof, contact, address and MSME/Udyam evidence</x:v>
      </x:c>
    </x:row>
    <x:row r="7" ht="15" hidden="0" customHeight="1">
      <x:c r="A7" s="33" t="str">
        <x:v>VEN-006</x:v>
      </x:c>
      <x:c r="B7" s="33" t="str">
        <x:v>Pressline Media Private Limited</x:v>
      </x:c>
      <x:c r="C7" s="11" t="str">
        <x:v>AADCP3398M</x:v>
      </x:c>
      <x:c r="D7" s="11" t="str">
        <x:v>27AADCP3398M1ZS</x:v>
      </x:c>
      <x:c r="E7" s="33" t="str">
        <x:f>IF(AND(LEN(C7)=10,MID(D7,3,10)=C7),"Matches","Mismatch")</x:f>
        <x:v>Matches</x:v>
      </x:c>
      <x:c r="F7" s="33" t="str">
        <x:v>Not verified</x:v>
      </x:c>
      <x:c r="G7" s="33" t="str">
        <x:v>UDYAM-MH-19-0204411</x:v>
      </x:c>
      <x:c r="H7" s="33" t="str">
        <x:v>Medium Enterprise (Services)</x:v>
      </x:c>
      <x:c r="I7" s="33" t="str">
        <x:v>Domestic</x:v>
      </x:c>
      <x:c r="J7" s="33" t="n">
        <x:f>COUNTIF('Invoice Compliance'!$E$2:$E$51,C7)</x:f>
        <x:v>1</x:v>
      </x:c>
      <x:c r="K7" s="34" t="n">
        <x:f>SUMIF('Invoice Compliance'!$E$2:$E$51,C7,'Invoice Compliance'!$T$2:$T$51)</x:f>
        <x:v>240000</x:v>
      </x:c>
      <x:c r="L7" s="34" t="n">
        <x:f>SUMIF('Invoice Compliance'!$E$2:$E$51,C7,'Invoice Compliance'!$Y$2:$Y$51)</x:f>
        <x:v>252000</x:v>
      </x:c>
      <x:c r="M7" s="33" t="str">
        <x:f>IF(OR(E7="Mismatch",F7&lt;&gt;"Active"),"Needs attention","Compliant")</x:f>
        <x:v>Needs attention</x:v>
      </x:c>
      <x:c r="N7" s="33" t="str">
        <x:v>Verify PAN status, GSTIN active status, bank proof, contact, address and MSME/Udyam evidence</x:v>
      </x:c>
    </x:row>
    <x:row r="8" ht="15" hidden="0" customHeight="1">
      <x:c r="A8" s="33" t="str">
        <x:v>VEN-007</x:v>
      </x:c>
      <x:c r="B8" s="33" t="str">
        <x:v>Suresh Chand Gupta</x:v>
      </x:c>
      <x:c r="C8" s="11" t="str">
        <x:v>AGTPG1187N</x:v>
      </x:c>
      <x:c r="D8" s="11" t="str">
        <x:v>07AGTPG1187N1ZR</x:v>
      </x:c>
      <x:c r="E8" s="33" t="str">
        <x:f>IF(AND(LEN(C8)=10,MID(D8,3,10)=C8),"Matches","Mismatch")</x:f>
        <x:v>Matches</x:v>
      </x:c>
      <x:c r="F8" s="33" t="str">
        <x:v>Not verified</x:v>
      </x:c>
      <x:c r="G8" s="33" t="str"/>
      <x:c r="H8" s="33" t="str"/>
      <x:c r="I8" s="33" t="str">
        <x:v>Domestic</x:v>
      </x:c>
      <x:c r="J8" s="33" t="n">
        <x:f>COUNTIF('Invoice Compliance'!$E$2:$E$51,C8)</x:f>
        <x:v>1</x:v>
      </x:c>
      <x:c r="K8" s="34" t="n">
        <x:f>SUMIF('Invoice Compliance'!$E$2:$E$51,C8,'Invoice Compliance'!$T$2:$T$51)</x:f>
        <x:v>180000</x:v>
      </x:c>
      <x:c r="L8" s="34" t="n">
        <x:f>SUMIF('Invoice Compliance'!$E$2:$E$51,C8,'Invoice Compliance'!$Y$2:$Y$51)</x:f>
        <x:v>212400</x:v>
      </x:c>
      <x:c r="M8" s="33" t="str">
        <x:f>IF(OR(E8="Mismatch",F8&lt;&gt;"Active"),"Needs attention","Compliant")</x:f>
        <x:v>Needs attention</x:v>
      </x:c>
      <x:c r="N8" s="33" t="str">
        <x:v>Verify PAN status, GSTIN active status, bank proof, contact, address and MSME/Udyam evidence</x:v>
      </x:c>
    </x:row>
    <x:row r="9" ht="15" hidden="0" customHeight="1">
      <x:c r="A9" s="33" t="str">
        <x:v>VEN-008</x:v>
      </x:c>
      <x:c r="B9" s="33" t="str">
        <x:v>Comfort Rentals LLP</x:v>
      </x:c>
      <x:c r="C9" s="11" t="str">
        <x:v>AAPFC8812E</x:v>
      </x:c>
      <x:c r="D9" s="11" t="str">
        <x:v>06AAPFC8812E1ZF</x:v>
      </x:c>
      <x:c r="E9" s="33" t="str">
        <x:f>IF(AND(LEN(C9)=10,MID(D9,3,10)=C9),"Matches","Mismatch")</x:f>
        <x:v>Matches</x:v>
      </x:c>
      <x:c r="F9" s="33" t="str">
        <x:v>Not verified</x:v>
      </x:c>
      <x:c r="G9" s="33" t="str">
        <x:v>UDYAM-HR-05-0062275</x:v>
      </x:c>
      <x:c r="H9" s="33" t="str">
        <x:v>Small Enterprise (Services)</x:v>
      </x:c>
      <x:c r="I9" s="33" t="str">
        <x:v>Domestic</x:v>
      </x:c>
      <x:c r="J9" s="33" t="n">
        <x:f>COUNTIF('Invoice Compliance'!$E$2:$E$51,C9)</x:f>
        <x:v>1</x:v>
      </x:c>
      <x:c r="K9" s="34" t="n">
        <x:f>SUMIF('Invoice Compliance'!$E$2:$E$51,C9,'Invoice Compliance'!$T$2:$T$51)</x:f>
        <x:v>65000</x:v>
      </x:c>
      <x:c r="L9" s="34" t="n">
        <x:f>SUMIF('Invoice Compliance'!$E$2:$E$51,C9,'Invoice Compliance'!$Y$2:$Y$51)</x:f>
        <x:v>76700</x:v>
      </x:c>
      <x:c r="M9" s="33" t="str">
        <x:f>IF(OR(E9="Mismatch",F9&lt;&gt;"Active"),"Needs attention","Compliant")</x:f>
        <x:v>Needs attention</x:v>
      </x:c>
      <x:c r="N9" s="33" t="str">
        <x:v>Verify PAN status, GSTIN active status, bank proof, contact, address and MSME/Udyam evidence</x:v>
      </x:c>
    </x:row>
    <x:row r="10" ht="15" hidden="0" customHeight="1">
      <x:c r="A10" s="33" t="str">
        <x:v>VEN-009</x:v>
      </x:c>
      <x:c r="B10" s="33" t="str">
        <x:v>PowerGen Hire Services (Prop. Manoj Yadav)</x:v>
      </x:c>
      <x:c r="C10" s="11" t="str">
        <x:v>BHMPY7703C</x:v>
      </x:c>
      <x:c r="D10" s="11" t="str">
        <x:v>09BHMPY7703C1ZY</x:v>
      </x:c>
      <x:c r="E10" s="33" t="str">
        <x:f>IF(AND(LEN(C10)=10,MID(D10,3,10)=C10),"Matches","Mismatch")</x:f>
        <x:v>Matches</x:v>
      </x:c>
      <x:c r="F10" s="33" t="str">
        <x:v>Not verified</x:v>
      </x:c>
      <x:c r="G10" s="33" t="str">
        <x:v>UDYAM-UP-28-0154420</x:v>
      </x:c>
      <x:c r="H10" s="33" t="str">
        <x:v>Micro Enterprise (Services)</x:v>
      </x:c>
      <x:c r="I10" s="33" t="str">
        <x:v>Domestic</x:v>
      </x:c>
      <x:c r="J10" s="33" t="n">
        <x:f>COUNTIF('Invoice Compliance'!$E$2:$E$51,C10)</x:f>
        <x:v>1</x:v>
      </x:c>
      <x:c r="K10" s="34" t="n">
        <x:f>SUMIF('Invoice Compliance'!$E$2:$E$51,C10,'Invoice Compliance'!$T$2:$T$51)</x:f>
        <x:v>72000</x:v>
      </x:c>
      <x:c r="L10" s="34" t="n">
        <x:f>SUMIF('Invoice Compliance'!$E$2:$E$51,C10,'Invoice Compliance'!$Y$2:$Y$51)</x:f>
        <x:v>84960</x:v>
      </x:c>
      <x:c r="M10" s="33" t="str">
        <x:f>IF(OR(E10="Mismatch",F10&lt;&gt;"Active"),"Needs attention","Compliant")</x:f>
        <x:v>Needs attention</x:v>
      </x:c>
      <x:c r="N10" s="33" t="str">
        <x:v>Verify PAN status, GSTIN active status, bank proof, contact, address and MSME/Udyam evidence</x:v>
      </x:c>
    </x:row>
    <x:row r="11" ht="15" hidden="0" customHeight="1">
      <x:c r="A11" s="33" t="str">
        <x:v>VEN-010</x:v>
      </x:c>
      <x:c r="B11" s="33" t="str">
        <x:v>Kapoor Properties (HUF)</x:v>
      </x:c>
      <x:c r="C11" s="11" t="str">
        <x:v>AAEHK2045B</x:v>
      </x:c>
      <x:c r="D11" s="11" t="str">
        <x:v>07AAEHK2045B1ZT</x:v>
      </x:c>
      <x:c r="E11" s="33" t="str">
        <x:f>IF(AND(LEN(C11)=10,MID(D11,3,10)=C11),"Matches","Mismatch")</x:f>
        <x:v>Matches</x:v>
      </x:c>
      <x:c r="F11" s="33" t="str">
        <x:v>Not verified</x:v>
      </x:c>
      <x:c r="G11" s="33" t="str"/>
      <x:c r="H11" s="33" t="str"/>
      <x:c r="I11" s="33" t="str">
        <x:v>Domestic</x:v>
      </x:c>
      <x:c r="J11" s="33" t="n">
        <x:f>COUNTIF('Invoice Compliance'!$E$2:$E$51,C11)</x:f>
        <x:v>1</x:v>
      </x:c>
      <x:c r="K11" s="34" t="n">
        <x:f>SUMIF('Invoice Compliance'!$E$2:$E$51,C11,'Invoice Compliance'!$T$2:$T$51)</x:f>
        <x:v>42000</x:v>
      </x:c>
      <x:c r="L11" s="34" t="n">
        <x:f>SUMIF('Invoice Compliance'!$E$2:$E$51,C11,'Invoice Compliance'!$Y$2:$Y$51)</x:f>
        <x:v>49560</x:v>
      </x:c>
      <x:c r="M11" s="33" t="str">
        <x:f>IF(OR(E11="Mismatch",F11&lt;&gt;"Active"),"Needs attention","Compliant")</x:f>
        <x:v>Needs attention</x:v>
      </x:c>
      <x:c r="N11" s="33" t="str">
        <x:v>Verify PAN status, GSTIN active status, bank proof, contact, address and MSME/Udyam evidence</x:v>
      </x:c>
    </x:row>
    <x:row r="12" ht="15" hidden="0" customHeight="1">
      <x:c r="A12" s="33" t="str">
        <x:v>VEN-011</x:v>
      </x:c>
      <x:c r="B12" s="33" t="str">
        <x:v>RouteOne Cabs Private Limited</x:v>
      </x:c>
      <x:c r="C12" s="11" t="str">
        <x:v>AAICR6610G</x:v>
      </x:c>
      <x:c r="D12" s="11" t="str">
        <x:v>07AAICR6610G1ZF</x:v>
      </x:c>
      <x:c r="E12" s="33" t="str">
        <x:f>IF(AND(LEN(C12)=10,MID(D12,3,10)=C12),"Matches","Mismatch")</x:f>
        <x:v>Matches</x:v>
      </x:c>
      <x:c r="F12" s="33" t="str">
        <x:v>Not verified</x:v>
      </x:c>
      <x:c r="G12" s="33" t="str">
        <x:v>UDYAM-DL-06-0099018</x:v>
      </x:c>
      <x:c r="H12" s="33" t="str">
        <x:v>Small Enterprise (Services)</x:v>
      </x:c>
      <x:c r="I12" s="33" t="str">
        <x:v>Domestic</x:v>
      </x:c>
      <x:c r="J12" s="33" t="n">
        <x:f>COUNTIF('Invoice Compliance'!$E$2:$E$51,C12)</x:f>
        <x:v>1</x:v>
      </x:c>
      <x:c r="K12" s="34" t="n">
        <x:f>SUMIF('Invoice Compliance'!$E$2:$E$51,C12,'Invoice Compliance'!$T$2:$T$51)</x:f>
        <x:v>145000</x:v>
      </x:c>
      <x:c r="L12" s="34" t="n">
        <x:f>SUMIF('Invoice Compliance'!$E$2:$E$51,C12,'Invoice Compliance'!$Y$2:$Y$51)</x:f>
        <x:v>152250</x:v>
      </x:c>
      <x:c r="M12" s="33" t="str">
        <x:f>IF(OR(E12="Mismatch",F12&lt;&gt;"Active"),"Needs attention","Compliant")</x:f>
        <x:v>Needs attention</x:v>
      </x:c>
      <x:c r="N12" s="33" t="str">
        <x:v>Verify PAN status, GSTIN active status, bank proof, contact, address and MSME/Udyam evidence</x:v>
      </x:c>
    </x:row>
    <x:row r="13" ht="15" hidden="0" customHeight="1">
      <x:c r="A13" s="33" t="str">
        <x:v>VEN-012</x:v>
      </x:c>
      <x:c r="B13" s="33" t="str">
        <x:v>Balaji Roadlines (Prop. Ramesh Chand)</x:v>
      </x:c>
      <x:c r="C13" s="11" t="str">
        <x:v>AYKPC4471J</x:v>
      </x:c>
      <x:c r="D13" s="11" t="str">
        <x:v>06AYKPC4471J1ZC</x:v>
      </x:c>
      <x:c r="E13" s="33" t="str">
        <x:f>IF(AND(LEN(C13)=10,MID(D13,3,10)=C13),"Matches","Mismatch")</x:f>
        <x:v>Matches</x:v>
      </x:c>
      <x:c r="F13" s="33" t="str">
        <x:v>Not verified</x:v>
      </x:c>
      <x:c r="G13" s="33" t="str">
        <x:v>UDYAM-HR-05-0040917</x:v>
      </x:c>
      <x:c r="H13" s="33" t="str">
        <x:v>Micro Enterprise (Services)</x:v>
      </x:c>
      <x:c r="I13" s="33" t="str">
        <x:v>Domestic</x:v>
      </x:c>
      <x:c r="J13" s="33" t="n">
        <x:f>COUNTIF('Invoice Compliance'!$E$2:$E$51,C13)</x:f>
        <x:v>1</x:v>
      </x:c>
      <x:c r="K13" s="34" t="n">
        <x:f>SUMIF('Invoice Compliance'!$E$2:$E$51,C13,'Invoice Compliance'!$T$2:$T$51)</x:f>
        <x:v>68000</x:v>
      </x:c>
      <x:c r="L13" s="34" t="n">
        <x:f>SUMIF('Invoice Compliance'!$E$2:$E$51,C13,'Invoice Compliance'!$Y$2:$Y$51)</x:f>
        <x:v>68000</x:v>
      </x:c>
      <x:c r="M13" s="33" t="str">
        <x:f>IF(OR(E13="Mismatch",F13&lt;&gt;"Active"),"Needs attention","Compliant")</x:f>
        <x:v>Needs attention</x:v>
      </x:c>
      <x:c r="N13" s="33" t="str">
        <x:v>Verify PAN status, GSTIN active status, bank proof, contact, address and MSME/Udyam evidence</x:v>
      </x:c>
    </x:row>
    <x:row r="14" ht="15" hidden="0" customHeight="1">
      <x:c r="A14" s="33" t="str">
        <x:v>VEN-013</x:v>
      </x:c>
      <x:c r="B14" s="33" t="str">
        <x:v>Shree Cargo Movers Private Limited</x:v>
      </x:c>
      <x:c r="C14" s="11" t="str">
        <x:v>AAKCS1902P</x:v>
      </x:c>
      <x:c r="D14" s="11" t="str">
        <x:v>27AAKCS1902P1ZY</x:v>
      </x:c>
      <x:c r="E14" s="33" t="str">
        <x:f>IF(AND(LEN(C14)=10,MID(D14,3,10)=C14),"Matches","Mismatch")</x:f>
        <x:v>Matches</x:v>
      </x:c>
      <x:c r="F14" s="33" t="str">
        <x:v>Not verified</x:v>
      </x:c>
      <x:c r="G14" s="33" t="str">
        <x:v>UDYAM-MH-33-0187770</x:v>
      </x:c>
      <x:c r="H14" s="33" t="str">
        <x:v>Medium Enterprise (Services)</x:v>
      </x:c>
      <x:c r="I14" s="33" t="str">
        <x:v>Domestic</x:v>
      </x:c>
      <x:c r="J14" s="33" t="n">
        <x:f>COUNTIF('Invoice Compliance'!$E$2:$E$51,C14)</x:f>
        <x:v>1</x:v>
      </x:c>
      <x:c r="K14" s="34" t="n">
        <x:f>SUMIF('Invoice Compliance'!$E$2:$E$51,C14,'Invoice Compliance'!$T$2:$T$51)</x:f>
        <x:v>115000</x:v>
      </x:c>
      <x:c r="L14" s="34" t="n">
        <x:f>SUMIF('Invoice Compliance'!$E$2:$E$51,C14,'Invoice Compliance'!$Y$2:$Y$51)</x:f>
        <x:v>135700</x:v>
      </x:c>
      <x:c r="M14" s="33" t="str">
        <x:f>IF(OR(E14="Mismatch",F14&lt;&gt;"Active"),"Needs attention","Compliant")</x:f>
        <x:v>Needs attention</x:v>
      </x:c>
      <x:c r="N14" s="33" t="str">
        <x:v>Verify PAN status, GSTIN active status, bank proof, contact, address and MSME/Udyam evidence</x:v>
      </x:c>
    </x:row>
    <x:row r="15" ht="15" hidden="0" customHeight="1">
      <x:c r="A15" s="33" t="str">
        <x:v>VEN-014</x:v>
      </x:c>
      <x:c r="B15" s="33" t="str">
        <x:v>Swift Courier &amp; Logistics Private Limited</x:v>
      </x:c>
      <x:c r="C15" s="11" t="str">
        <x:v>AAGCS5578F</x:v>
      </x:c>
      <x:c r="D15" s="11" t="str">
        <x:v>07AAGCS5578F1Z1</x:v>
      </x:c>
      <x:c r="E15" s="33" t="str">
        <x:f>IF(AND(LEN(C15)=10,MID(D15,3,10)=C15),"Matches","Mismatch")</x:f>
        <x:v>Matches</x:v>
      </x:c>
      <x:c r="F15" s="33" t="str">
        <x:v>Not verified</x:v>
      </x:c>
      <x:c r="G15" s="33" t="str"/>
      <x:c r="H15" s="33" t="str"/>
      <x:c r="I15" s="33" t="str">
        <x:v>Domestic</x:v>
      </x:c>
      <x:c r="J15" s="33" t="n">
        <x:f>COUNTIF('Invoice Compliance'!$E$2:$E$51,C15)</x:f>
        <x:v>1</x:v>
      </x:c>
      <x:c r="K15" s="34" t="n">
        <x:f>SUMIF('Invoice Compliance'!$E$2:$E$51,C15,'Invoice Compliance'!$T$2:$T$51)</x:f>
        <x:v>54000</x:v>
      </x:c>
      <x:c r="L15" s="34" t="n">
        <x:f>SUMIF('Invoice Compliance'!$E$2:$E$51,C15,'Invoice Compliance'!$Y$2:$Y$51)</x:f>
        <x:v>63720</x:v>
      </x:c>
      <x:c r="M15" s="33" t="str">
        <x:f>IF(OR(E15="Mismatch",F15&lt;&gt;"Active"),"Needs attention","Compliant")</x:f>
        <x:v>Needs attention</x:v>
      </x:c>
      <x:c r="N15" s="33" t="str">
        <x:v>Verify PAN status, GSTIN active status, bank proof, contact, address and MSME/Udyam evidence</x:v>
      </x:c>
    </x:row>
    <x:row r="16" ht="15" hidden="0" customHeight="1">
      <x:c r="A16" s="33" t="str">
        <x:v>VEN-015</x:v>
      </x:c>
      <x:c r="B16" s="33" t="str">
        <x:v>Ankit Verma (Channel Partner)</x:v>
      </x:c>
      <x:c r="C16" s="11" t="str">
        <x:v>ALRPV3326K</x:v>
      </x:c>
      <x:c r="D16" s="11" t="str">
        <x:v>08ALRPV3326K1ZE</x:v>
      </x:c>
      <x:c r="E16" s="33" t="str">
        <x:f>IF(AND(LEN(C16)=10,MID(D16,3,10)=C16),"Matches","Mismatch")</x:f>
        <x:v>Matches</x:v>
      </x:c>
      <x:c r="F16" s="33" t="str">
        <x:v>Not verified</x:v>
      </x:c>
      <x:c r="G16" s="33" t="str">
        <x:v>UDYAM-RJ-17-0021564</x:v>
      </x:c>
      <x:c r="H16" s="33" t="str">
        <x:v>Micro Enterprise (Services)</x:v>
      </x:c>
      <x:c r="I16" s="33" t="str">
        <x:v>Domestic</x:v>
      </x:c>
      <x:c r="J16" s="33" t="n">
        <x:f>COUNTIF('Invoice Compliance'!$E$2:$E$51,C16)</x:f>
        <x:v>1</x:v>
      </x:c>
      <x:c r="K16" s="34" t="n">
        <x:f>SUMIF('Invoice Compliance'!$E$2:$E$51,C16,'Invoice Compliance'!$T$2:$T$51)</x:f>
        <x:v>85000</x:v>
      </x:c>
      <x:c r="L16" s="34" t="n">
        <x:f>SUMIF('Invoice Compliance'!$E$2:$E$51,C16,'Invoice Compliance'!$Y$2:$Y$51)</x:f>
        <x:v>100300</x:v>
      </x:c>
      <x:c r="M16" s="33" t="str">
        <x:f>IF(OR(E16="Mismatch",F16&lt;&gt;"Active"),"Needs attention","Compliant")</x:f>
        <x:v>Needs attention</x:v>
      </x:c>
      <x:c r="N16" s="33" t="str">
        <x:v>Verify PAN status, GSTIN active status, bank proof, contact, address and MSME/Udyam evidence</x:v>
      </x:c>
    </x:row>
    <x:row r="17" ht="15" hidden="0" customHeight="1">
      <x:c r="A17" s="33" t="str">
        <x:v>VEN-016</x:v>
      </x:c>
      <x:c r="B17" s="33" t="str">
        <x:v>Neha Joshi</x:v>
      </x:c>
      <x:c r="C17" s="11" t="str">
        <x:v>DMBPJ8854Q</x:v>
      </x:c>
      <x:c r="D17" s="11" t="str">
        <x:v>07AAKCN4821Q1ZV</x:v>
      </x:c>
      <x:c r="E17" s="33" t="str">
        <x:f>IF(AND(LEN(C17)=10,MID(D17,3,10)=C17),"Matches","Mismatch")</x:f>
        <x:v>Mismatch</x:v>
      </x:c>
      <x:c r="F17" s="33" t="str">
        <x:v>Not verified</x:v>
      </x:c>
      <x:c r="G17" s="33" t="str"/>
      <x:c r="H17" s="33" t="str"/>
      <x:c r="I17" s="33" t="str">
        <x:v>Domestic</x:v>
      </x:c>
      <x:c r="J17" s="33" t="n">
        <x:f>COUNTIF('Invoice Compliance'!$E$2:$E$51,C17)</x:f>
        <x:v>1</x:v>
      </x:c>
      <x:c r="K17" s="34" t="n">
        <x:f>SUMIF('Invoice Compliance'!$E$2:$E$51,C17,'Invoice Compliance'!$T$2:$T$51)</x:f>
        <x:v>0</x:v>
      </x:c>
      <x:c r="L17" s="34" t="n">
        <x:f>SUMIF('Invoice Compliance'!$E$2:$E$51,C17,'Invoice Compliance'!$Y$2:$Y$51)</x:f>
        <x:v>15000</x:v>
      </x:c>
      <x:c r="M17" s="33" t="str">
        <x:f>IF(OR(E17="Mismatch",F17&lt;&gt;"Active"),"Needs attention","Compliant")</x:f>
        <x:v>Needs attention</x:v>
      </x:c>
      <x:c r="N17" s="33" t="str">
        <x:v>Verify PAN status, GSTIN active status, bank proof, contact, address and MSME/Udyam evidence</x:v>
      </x:c>
    </x:row>
    <x:row r="18" ht="15" hidden="0" customHeight="1">
      <x:c r="A18" s="33" t="str">
        <x:v>VEN-017</x:v>
      </x:c>
      <x:c r="B18" s="33" t="str">
        <x:v>Digital Hub Distributors Private Limited</x:v>
      </x:c>
      <x:c r="C18" s="11" t="str">
        <x:v>AABCD6602H</x:v>
      </x:c>
      <x:c r="D18" s="11" t="str">
        <x:v>29AABCD6602H1ZS</x:v>
      </x:c>
      <x:c r="E18" s="33" t="str">
        <x:f>IF(AND(LEN(C18)=10,MID(D18,3,10)=C18),"Matches","Mismatch")</x:f>
        <x:v>Matches</x:v>
      </x:c>
      <x:c r="F18" s="33" t="str">
        <x:v>Not verified</x:v>
      </x:c>
      <x:c r="G18" s="33" t="str">
        <x:v>UDYAM-KR-03-0230091</x:v>
      </x:c>
      <x:c r="H18" s="33" t="str">
        <x:v>Medium Enterprise (Trading)</x:v>
      </x:c>
      <x:c r="I18" s="33" t="str">
        <x:v>Domestic</x:v>
      </x:c>
      <x:c r="J18" s="33" t="n">
        <x:f>COUNTIF('Invoice Compliance'!$E$2:$E$51,C18)</x:f>
        <x:v>1</x:v>
      </x:c>
      <x:c r="K18" s="34" t="n">
        <x:f>SUMIF('Invoice Compliance'!$E$2:$E$51,C18,'Invoice Compliance'!$T$2:$T$51)</x:f>
        <x:v>4200000</x:v>
      </x:c>
      <x:c r="L18" s="34" t="n">
        <x:f>SUMIF('Invoice Compliance'!$E$2:$E$51,C18,'Invoice Compliance'!$Y$2:$Y$51)</x:f>
        <x:v>4956000</x:v>
      </x:c>
      <x:c r="M18" s="33" t="str">
        <x:f>IF(OR(E18="Mismatch",F18&lt;&gt;"Active"),"Needs attention","Compliant")</x:f>
        <x:v>Needs attention</x:v>
      </x:c>
      <x:c r="N18" s="33" t="str">
        <x:v>Verify PAN status, GSTIN active status, bank proof, contact, address and MSME/Udyam evidence</x:v>
      </x:c>
    </x:row>
    <x:row r="19" ht="15" hidden="0" customHeight="1">
      <x:c r="A19" s="33" t="str">
        <x:v>VEN-018</x:v>
      </x:c>
      <x:c r="B19" s="33" t="str">
        <x:v>Pustak Bhandar (Prop. Vinod Arora)</x:v>
      </x:c>
      <x:c r="C19" s="11" t="str">
        <x:v>AKVPA2219M</x:v>
      </x:c>
      <x:c r="D19" s="11" t="str">
        <x:v>07AKVPA2219M1ZX</x:v>
      </x:c>
      <x:c r="E19" s="33" t="str">
        <x:f>IF(AND(LEN(C19)=10,MID(D19,3,10)=C19),"Matches","Mismatch")</x:f>
        <x:v>Matches</x:v>
      </x:c>
      <x:c r="F19" s="33" t="str">
        <x:v>Not verified</x:v>
      </x:c>
      <x:c r="G19" s="33" t="str">
        <x:v>UDYAM-DL-02-0012786</x:v>
      </x:c>
      <x:c r="H19" s="33" t="str">
        <x:v>Small Enterprise (Trading)</x:v>
      </x:c>
      <x:c r="I19" s="33" t="str">
        <x:v>Domestic</x:v>
      </x:c>
      <x:c r="J19" s="33" t="n">
        <x:f>COUNTIF('Invoice Compliance'!$E$2:$E$51,C19)</x:f>
        <x:v>1</x:v>
      </x:c>
      <x:c r="K19" s="34" t="n">
        <x:f>SUMIF('Invoice Compliance'!$E$2:$E$51,C19,'Invoice Compliance'!$T$2:$T$51)</x:f>
        <x:v>140000</x:v>
      </x:c>
      <x:c r="L19" s="34" t="n">
        <x:f>SUMIF('Invoice Compliance'!$E$2:$E$51,C19,'Invoice Compliance'!$Y$2:$Y$51)</x:f>
        <x:v>140000</x:v>
      </x:c>
      <x:c r="M19" s="33" t="str">
        <x:f>IF(OR(E19="Mismatch",F19&lt;&gt;"Active"),"Needs attention","Compliant")</x:f>
        <x:v>Needs attention</x:v>
      </x:c>
      <x:c r="N19" s="33" t="str">
        <x:v>Verify PAN status, GSTIN active status, bank proof, contact, address and MSME/Udyam evidence</x:v>
      </x:c>
    </x:row>
    <x:row r="20" ht="15" hidden="0" customHeight="1">
      <x:c r="A20" s="33" t="str">
        <x:v>VEN-019</x:v>
      </x:c>
      <x:c r="B20" s="33" t="str">
        <x:v>CoolAir Systems Private Limited</x:v>
      </x:c>
      <x:c r="C20" s="11" t="str">
        <x:v>AAFCC9071A</x:v>
      </x:c>
      <x:c r="D20" s="11" t="str">
        <x:v>06AAFCC9071A1ZY</x:v>
      </x:c>
      <x:c r="E20" s="33" t="str">
        <x:f>IF(AND(LEN(C20)=10,MID(D20,3,10)=C20),"Matches","Mismatch")</x:f>
        <x:v>Matches</x:v>
      </x:c>
      <x:c r="F20" s="33" t="str">
        <x:v>Not verified</x:v>
      </x:c>
      <x:c r="G20" s="33" t="str">
        <x:v>UDYAM-HR-05-0007731</x:v>
      </x:c>
      <x:c r="H20" s="33" t="str">
        <x:v>Medium Enterprise</x:v>
      </x:c>
      <x:c r="I20" s="33" t="str">
        <x:v>Domestic</x:v>
      </x:c>
      <x:c r="J20" s="33" t="n">
        <x:f>COUNTIF('Invoice Compliance'!$E$2:$E$51,C20)</x:f>
        <x:v>1</x:v>
      </x:c>
      <x:c r="K20" s="34" t="n">
        <x:f>SUMIF('Invoice Compliance'!$E$2:$E$51,C20,'Invoice Compliance'!$T$2:$T$51)</x:f>
        <x:v>316000</x:v>
      </x:c>
      <x:c r="L20" s="34" t="n">
        <x:f>SUMIF('Invoice Compliance'!$E$2:$E$51,C20,'Invoice Compliance'!$Y$2:$Y$51)</x:f>
        <x:v>372880</x:v>
      </x:c>
      <x:c r="M20" s="33" t="str">
        <x:f>IF(OR(E20="Mismatch",F20&lt;&gt;"Active"),"Needs attention","Compliant")</x:f>
        <x:v>Needs attention</x:v>
      </x:c>
      <x:c r="N20" s="33" t="str">
        <x:v>Verify PAN status, GSTIN active status, bank proof, contact, address and MSME/Udyam evidence</x:v>
      </x:c>
    </x:row>
    <x:row r="21" ht="15" hidden="0" customHeight="1">
      <x:c r="A21" s="33" t="str">
        <x:v>VEN-020</x:v>
      </x:c>
      <x:c r="B21" s="33" t="str">
        <x:v>TechFix Solutions</x:v>
      </x:c>
      <x:c r="C21" s="11" t="str">
        <x:v>AAJFT4410C</x:v>
      </x:c>
      <x:c r="D21" s="11" t="str">
        <x:v>07AAJFT4410C1ZK</x:v>
      </x:c>
      <x:c r="E21" s="33" t="str">
        <x:f>IF(AND(LEN(C21)=10,MID(D21,3,10)=C21),"Matches","Mismatch")</x:f>
        <x:v>Matches</x:v>
      </x:c>
      <x:c r="F21" s="33" t="str">
        <x:v>Not verified</x:v>
      </x:c>
      <x:c r="G21" s="33" t="str">
        <x:v>UDYAM-DL-08-0058829</x:v>
      </x:c>
      <x:c r="H21" s="33" t="str">
        <x:v>Micro Enterprise (Services)</x:v>
      </x:c>
      <x:c r="I21" s="33" t="str">
        <x:v>Domestic</x:v>
      </x:c>
      <x:c r="J21" s="33" t="n">
        <x:f>COUNTIF('Invoice Compliance'!$E$2:$E$51,C21)</x:f>
        <x:v>1</x:v>
      </x:c>
      <x:c r="K21" s="34" t="n">
        <x:f>SUMIF('Invoice Compliance'!$E$2:$E$51,C21,'Invoice Compliance'!$T$2:$T$51)</x:f>
        <x:v>165000</x:v>
      </x:c>
      <x:c r="L21" s="34" t="n">
        <x:f>SUMIF('Invoice Compliance'!$E$2:$E$51,C21,'Invoice Compliance'!$Y$2:$Y$51)</x:f>
        <x:v>194700</x:v>
      </x:c>
      <x:c r="M21" s="33" t="str">
        <x:f>IF(OR(E21="Mismatch",F21&lt;&gt;"Active"),"Needs attention","Compliant")</x:f>
        <x:v>Needs attention</x:v>
      </x:c>
      <x:c r="N21" s="33" t="str">
        <x:v>Verify PAN status, GSTIN active status, bank proof, contact, address and MSME/Udyam evidence</x:v>
      </x:c>
    </x:row>
    <x:row r="22" ht="15" hidden="0" customHeight="1">
      <x:c r="A22" s="33" t="str">
        <x:v>VEN-021</x:v>
      </x:c>
      <x:c r="B22" s="33" t="str">
        <x:v>Adv. Karan Malhotra</x:v>
      </x:c>
      <x:c r="C22" s="11" t="str">
        <x:v>ATCPM6672R</x:v>
      </x:c>
      <x:c r="D22" s="11" t="str">
        <x:v>07AAKCN4821Q1ZV</x:v>
      </x:c>
      <x:c r="E22" s="33" t="str">
        <x:f>IF(AND(LEN(C22)=10,MID(D22,3,10)=C22),"Matches","Mismatch")</x:f>
        <x:v>Mismatch</x:v>
      </x:c>
      <x:c r="F22" s="33" t="str">
        <x:v>Not verified</x:v>
      </x:c>
      <x:c r="G22" s="33" t="str"/>
      <x:c r="H22" s="33" t="str"/>
      <x:c r="I22" s="33" t="str">
        <x:v>Domestic</x:v>
      </x:c>
      <x:c r="J22" s="33" t="n">
        <x:f>COUNTIF('Invoice Compliance'!$E$2:$E$51,C22)</x:f>
        <x:v>1</x:v>
      </x:c>
      <x:c r="K22" s="34" t="n">
        <x:f>SUMIF('Invoice Compliance'!$E$2:$E$51,C22,'Invoice Compliance'!$T$2:$T$51)</x:f>
        <x:v>0</x:v>
      </x:c>
      <x:c r="L22" s="34" t="n">
        <x:f>SUMIF('Invoice Compliance'!$E$2:$E$51,C22,'Invoice Compliance'!$Y$2:$Y$51)</x:f>
        <x:v>150000</x:v>
      </x:c>
      <x:c r="M22" s="33" t="str">
        <x:f>IF(OR(E22="Mismatch",F22&lt;&gt;"Active"),"Needs attention","Compliant")</x:f>
        <x:v>Needs attention</x:v>
      </x:c>
      <x:c r="N22" s="33" t="str">
        <x:v>Verify PAN status, GSTIN active status, bank proof, contact, address and MSME/Udyam evidence</x:v>
      </x:c>
    </x:row>
    <x:row r="23" ht="15" hidden="0" customHeight="1">
      <x:c r="A23" s="33" t="str">
        <x:v>VEN-022</x:v>
      </x:c>
      <x:c r="B23" s="33" t="str">
        <x:v>Lexpoint Legal LLP</x:v>
      </x:c>
      <x:c r="C23" s="11" t="str">
        <x:v>AAPFL3307N</x:v>
      </x:c>
      <x:c r="D23" s="11" t="str">
        <x:v>27AAPFL3307N1ZV</x:v>
      </x:c>
      <x:c r="E23" s="33" t="str">
        <x:f>IF(AND(LEN(C23)=10,MID(D23,3,10)=C23),"Matches","Mismatch")</x:f>
        <x:v>Matches</x:v>
      </x:c>
      <x:c r="F23" s="33" t="str">
        <x:v>Not verified</x:v>
      </x:c>
      <x:c r="G23" s="33" t="str">
        <x:v>UDYAM-MH-18-0145560</x:v>
      </x:c>
      <x:c r="H23" s="33" t="str">
        <x:v>Small Enterprise (Services)</x:v>
      </x:c>
      <x:c r="I23" s="33" t="str">
        <x:v>Domestic</x:v>
      </x:c>
      <x:c r="J23" s="33" t="n">
        <x:f>COUNTIF('Invoice Compliance'!$E$2:$E$51,C23)</x:f>
        <x:v>1</x:v>
      </x:c>
      <x:c r="K23" s="34" t="n">
        <x:f>SUMIF('Invoice Compliance'!$E$2:$E$51,C23,'Invoice Compliance'!$T$2:$T$51)</x:f>
        <x:v>275000</x:v>
      </x:c>
      <x:c r="L23" s="34" t="n">
        <x:f>SUMIF('Invoice Compliance'!$E$2:$E$51,C23,'Invoice Compliance'!$Y$2:$Y$51)</x:f>
        <x:v>275000</x:v>
      </x:c>
      <x:c r="M23" s="33" t="str">
        <x:f>IF(OR(E23="Mismatch",F23&lt;&gt;"Active"),"Needs attention","Compliant")</x:f>
        <x:v>Needs attention</x:v>
      </x:c>
      <x:c r="N23" s="33" t="str">
        <x:v>Verify PAN status, GSTIN active status, bank proof, contact, address and MSME/Udyam evidence</x:v>
      </x:c>
    </x:row>
    <x:row r="24" ht="15" hidden="0" customHeight="1">
      <x:c r="A24" s="33" t="str">
        <x:v>VEN-023</x:v>
      </x:c>
      <x:c r="B24" s="33" t="str">
        <x:v>Shield Guard Security Services (Prop.</x:v>
      </x:c>
      <x:c r="C24" s="11" t="str">
        <x:v>BNSPS5530L</x:v>
      </x:c>
      <x:c r="D24" s="11" t="str">
        <x:v>07BNSPS5530L1Z9</x:v>
      </x:c>
      <x:c r="E24" s="33" t="str">
        <x:f>IF(AND(LEN(C24)=10,MID(D24,3,10)=C24),"Matches","Mismatch")</x:f>
        <x:v>Matches</x:v>
      </x:c>
      <x:c r="F24" s="33" t="str">
        <x:v>Not verified</x:v>
      </x:c>
      <x:c r="G24" s="33" t="str">
        <x:v>UDYAM-DL-07-0066210</x:v>
      </x:c>
      <x:c r="H24" s="33" t="str">
        <x:v>Micro Enterprise (Services)</x:v>
      </x:c>
      <x:c r="I24" s="33" t="str">
        <x:v>Domestic</x:v>
      </x:c>
      <x:c r="J24" s="33" t="n">
        <x:f>COUNTIF('Invoice Compliance'!$E$2:$E$51,C24)</x:f>
        <x:v>1</x:v>
      </x:c>
      <x:c r="K24" s="34" t="n">
        <x:f>SUMIF('Invoice Compliance'!$E$2:$E$51,C24,'Invoice Compliance'!$T$2:$T$51)</x:f>
        <x:v>88000</x:v>
      </x:c>
      <x:c r="L24" s="34" t="n">
        <x:f>SUMIF('Invoice Compliance'!$E$2:$E$51,C24,'Invoice Compliance'!$Y$2:$Y$51)</x:f>
        <x:v>88000</x:v>
      </x:c>
      <x:c r="M24" s="33" t="str">
        <x:f>IF(OR(E24="Mismatch",F24&lt;&gt;"Active"),"Needs attention","Compliant")</x:f>
        <x:v>Needs attention</x:v>
      </x:c>
      <x:c r="N24" s="33" t="str">
        <x:v>Verify PAN status, GSTIN active status, bank proof, contact, address and MSME/Udyam evidence</x:v>
      </x:c>
    </x:row>
    <x:row r="25" ht="15" hidden="0" customHeight="1">
      <x:c r="A25" s="33" t="str">
        <x:v>VEN-024</x:v>
      </x:c>
      <x:c r="B25" s="33" t="str">
        <x:v>Vigilant Protection Services Private Limited</x:v>
      </x:c>
      <x:c r="C25" s="11" t="str">
        <x:v>AACCV8021D</x:v>
      </x:c>
      <x:c r="D25" s="11" t="str">
        <x:v>06AACCV8021D1ZO</x:v>
      </x:c>
      <x:c r="E25" s="33" t="str">
        <x:f>IF(AND(LEN(C25)=10,MID(D25,3,10)=C25),"Matches","Mismatch")</x:f>
        <x:v>Matches</x:v>
      </x:c>
      <x:c r="F25" s="33" t="str">
        <x:v>Not verified</x:v>
      </x:c>
      <x:c r="G25" s="33" t="str">
        <x:v>UDYAM-HR-05-0088123</x:v>
      </x:c>
      <x:c r="H25" s="33" t="str">
        <x:v>Small Enterprise (Services)</x:v>
      </x:c>
      <x:c r="I25" s="33" t="str">
        <x:v>Domestic</x:v>
      </x:c>
      <x:c r="J25" s="33" t="n">
        <x:f>COUNTIF('Invoice Compliance'!$E$2:$E$51,C25)</x:f>
        <x:v>1</x:v>
      </x:c>
      <x:c r="K25" s="34" t="n">
        <x:f>SUMIF('Invoice Compliance'!$E$2:$E$51,C25,'Invoice Compliance'!$T$2:$T$51)</x:f>
        <x:v>164000</x:v>
      </x:c>
      <x:c r="L25" s="34" t="n">
        <x:f>SUMIF('Invoice Compliance'!$E$2:$E$51,C25,'Invoice Compliance'!$Y$2:$Y$51)</x:f>
        <x:v>193520</x:v>
      </x:c>
      <x:c r="M25" s="33" t="str">
        <x:f>IF(OR(E25="Mismatch",F25&lt;&gt;"Active"),"Needs attention","Compliant")</x:f>
        <x:v>Needs attention</x:v>
      </x:c>
      <x:c r="N25" s="33" t="str">
        <x:v>Verify PAN status, GSTIN active status, bank proof, contact, address and MSME/Udyam evidence</x:v>
      </x:c>
    </x:row>
    <x:row r="26" ht="15" hidden="0" customHeight="1">
      <x:c r="A26" s="33" t="str">
        <x:v>VEN-025</x:v>
      </x:c>
      <x:c r="B26" s="33" t="str">
        <x:v>Dr. Anil Khanna (Independent Director)</x:v>
      </x:c>
      <x:c r="C26" s="11" t="str">
        <x:v>AFAPK1028E</x:v>
      </x:c>
      <x:c r="D26" s="11" t="str">
        <x:v>07AAKCN4821Q1ZV</x:v>
      </x:c>
      <x:c r="E26" s="33" t="str">
        <x:f>IF(AND(LEN(C26)=10,MID(D26,3,10)=C26),"Matches","Mismatch")</x:f>
        <x:v>Mismatch</x:v>
      </x:c>
      <x:c r="F26" s="33" t="str">
        <x:v>Not verified</x:v>
      </x:c>
      <x:c r="G26" s="33" t="str"/>
      <x:c r="H26" s="33" t="str"/>
      <x:c r="I26" s="33" t="str">
        <x:v>Domestic</x:v>
      </x:c>
      <x:c r="J26" s="33" t="n">
        <x:f>COUNTIF('Invoice Compliance'!$E$2:$E$51,C26)</x:f>
        <x:v>1</x:v>
      </x:c>
      <x:c r="K26" s="34" t="n">
        <x:f>SUMIF('Invoice Compliance'!$E$2:$E$51,C26,'Invoice Compliance'!$T$2:$T$51)</x:f>
        <x:v>0</x:v>
      </x:c>
      <x:c r="L26" s="34" t="n">
        <x:f>SUMIF('Invoice Compliance'!$E$2:$E$51,C26,'Invoice Compliance'!$Y$2:$Y$51)</x:f>
        <x:v>80000</x:v>
      </x:c>
      <x:c r="M26" s="33" t="str">
        <x:f>IF(OR(E26="Mismatch",F26&lt;&gt;"Active"),"Needs attention","Compliant")</x:f>
        <x:v>Needs attention</x:v>
      </x:c>
      <x:c r="N26" s="33" t="str">
        <x:v>Verify PAN status, GSTIN active status, bank proof, contact, address and MSME/Udyam evidence</x:v>
      </x:c>
    </x:row>
    <x:row r="27" ht="15" hidden="0" customHeight="1">
      <x:c r="A27" s="33" t="str">
        <x:v>VEN-026</x:v>
      </x:c>
      <x:c r="B27" s="33" t="str">
        <x:v>Sea Breeze Resort Private Limited</x:v>
      </x:c>
      <x:c r="C27" s="11" t="str">
        <x:v>AAJCS2264K</x:v>
      </x:c>
      <x:c r="D27" s="11" t="str">
        <x:v>30AAJCS2264K1ZD</x:v>
      </x:c>
      <x:c r="E27" s="33" t="str">
        <x:f>IF(AND(LEN(C27)=10,MID(D27,3,10)=C27),"Matches","Mismatch")</x:f>
        <x:v>Matches</x:v>
      </x:c>
      <x:c r="F27" s="33" t="str">
        <x:v>Not verified</x:v>
      </x:c>
      <x:c r="G27" s="33" t="str"/>
      <x:c r="H27" s="33" t="str"/>
      <x:c r="I27" s="33" t="str">
        <x:v>Domestic</x:v>
      </x:c>
      <x:c r="J27" s="33" t="n">
        <x:f>COUNTIF('Invoice Compliance'!$E$2:$E$51,C27)</x:f>
        <x:v>1</x:v>
      </x:c>
      <x:c r="K27" s="34" t="n">
        <x:f>SUMIF('Invoice Compliance'!$E$2:$E$51,C27,'Invoice Compliance'!$T$2:$T$51)</x:f>
        <x:v>26000</x:v>
      </x:c>
      <x:c r="L27" s="34" t="n">
        <x:f>SUMIF('Invoice Compliance'!$E$2:$E$51,C27,'Invoice Compliance'!$Y$2:$Y$51)</x:f>
        <x:v>27300</x:v>
      </x:c>
      <x:c r="M27" s="33" t="str">
        <x:f>IF(OR(E27="Mismatch",F27&lt;&gt;"Active"),"Needs attention","Compliant")</x:f>
        <x:v>Needs attention</x:v>
      </x:c>
      <x:c r="N27" s="33" t="str">
        <x:v>Verify PAN status, GSTIN active status, bank proof, contact, address and MSME/Udyam evidence</x:v>
      </x:c>
    </x:row>
    <x:row r="28" ht="15" hidden="0" customHeight="1">
      <x:c r="A28" s="33" t="str">
        <x:v>VEN-027</x:v>
      </x:c>
      <x:c r="B28" s="33" t="str">
        <x:v>Eventique Experiences Private Limited</x:v>
      </x:c>
      <x:c r="C28" s="11" t="str">
        <x:v>AAECE7719B</x:v>
      </x:c>
      <x:c r="D28" s="11" t="str">
        <x:v>07AAECE7719B1ZU</x:v>
      </x:c>
      <x:c r="E28" s="33" t="str">
        <x:f>IF(AND(LEN(C28)=10,MID(D28,3,10)=C28),"Matches","Mismatch")</x:f>
        <x:v>Matches</x:v>
      </x:c>
      <x:c r="F28" s="33" t="str">
        <x:v>Not verified</x:v>
      </x:c>
      <x:c r="G28" s="33" t="str">
        <x:v>UDYAM-DL-08-0101448</x:v>
      </x:c>
      <x:c r="H28" s="33" t="str">
        <x:v>Small Enterprise (Services)</x:v>
      </x:c>
      <x:c r="I28" s="33" t="str">
        <x:v>Domestic</x:v>
      </x:c>
      <x:c r="J28" s="33" t="n">
        <x:f>COUNTIF('Invoice Compliance'!$E$2:$E$51,C28)</x:f>
        <x:v>1</x:v>
      </x:c>
      <x:c r="K28" s="34" t="n">
        <x:f>SUMIF('Invoice Compliance'!$E$2:$E$51,C28,'Invoice Compliance'!$T$2:$T$51)</x:f>
        <x:v>680000</x:v>
      </x:c>
      <x:c r="L28" s="34" t="n">
        <x:f>SUMIF('Invoice Compliance'!$E$2:$E$51,C28,'Invoice Compliance'!$Y$2:$Y$51)</x:f>
        <x:v>802400</x:v>
      </x:c>
      <x:c r="M28" s="33" t="str">
        <x:f>IF(OR(E28="Mismatch",F28&lt;&gt;"Active"),"Needs attention","Compliant")</x:f>
        <x:v>Needs attention</x:v>
      </x:c>
      <x:c r="N28" s="33" t="str">
        <x:v>Verify PAN status, GSTIN active status, bank proof, contact, address and MSME/Udyam evidence</x:v>
      </x:c>
    </x:row>
    <x:row r="29" ht="15" hidden="0" customHeight="1">
      <x:c r="A29" s="33" t="str">
        <x:v>VEN-028</x:v>
      </x:c>
      <x:c r="B29" s="33" t="str">
        <x:v>Pooja Bansal &amp; Co., Company Secretaries</x:v>
      </x:c>
      <x:c r="C29" s="11" t="str">
        <x:v>AAOFP6630M</x:v>
      </x:c>
      <x:c r="D29" s="11" t="str">
        <x:v>07AAOFP6630M1ZO</x:v>
      </x:c>
      <x:c r="E29" s="33" t="str">
        <x:f>IF(AND(LEN(C29)=10,MID(D29,3,10)=C29),"Matches","Mismatch")</x:f>
        <x:v>Matches</x:v>
      </x:c>
      <x:c r="F29" s="33" t="str">
        <x:v>Not verified</x:v>
      </x:c>
      <x:c r="G29" s="33" t="str">
        <x:v>UDYAM-DL-01-0027761</x:v>
      </x:c>
      <x:c r="H29" s="33" t="str">
        <x:v>Micro Enterprise (Services)</x:v>
      </x:c>
      <x:c r="I29" s="33" t="str">
        <x:v>Domestic</x:v>
      </x:c>
      <x:c r="J29" s="33" t="n">
        <x:f>COUNTIF('Invoice Compliance'!$E$2:$E$51,C29)</x:f>
        <x:v>1</x:v>
      </x:c>
      <x:c r="K29" s="34" t="n">
        <x:f>SUMIF('Invoice Compliance'!$E$2:$E$51,C29,'Invoice Compliance'!$T$2:$T$51)</x:f>
        <x:v>120000</x:v>
      </x:c>
      <x:c r="L29" s="34" t="n">
        <x:f>SUMIF('Invoice Compliance'!$E$2:$E$51,C29,'Invoice Compliance'!$Y$2:$Y$51)</x:f>
        <x:v>141600</x:v>
      </x:c>
      <x:c r="M29" s="33" t="str">
        <x:f>IF(OR(E29="Mismatch",F29&lt;&gt;"Active"),"Needs attention","Compliant")</x:f>
        <x:v>Needs attention</x:v>
      </x:c>
      <x:c r="N29" s="33" t="str">
        <x:v>Verify PAN status, GSTIN active status, bank proof, contact, address and MSME/Udyam evidence</x:v>
      </x:c>
    </x:row>
    <x:row r="30" ht="15" hidden="0" customHeight="1">
      <x:c r="A30" s="33" t="str">
        <x:v>VEN-029</x:v>
      </x:c>
      <x:c r="B30" s="33" t="str">
        <x:v>Krishna Painters</x:v>
      </x:c>
      <x:c r="C30" s="11" t="str">
        <x:v>AAKCN4821Q</x:v>
      </x:c>
      <x:c r="D30" s="11" t="str">
        <x:v>07AAKCN4821Q1ZV</x:v>
      </x:c>
      <x:c r="E30" s="33" t="str">
        <x:f>IF(AND(LEN(C30)=10,MID(D30,3,10)=C30),"Matches","Mismatch")</x:f>
        <x:v>Matches</x:v>
      </x:c>
      <x:c r="F30" s="33" t="str">
        <x:v>Not verified</x:v>
      </x:c>
      <x:c r="G30" s="33" t="str"/>
      <x:c r="H30" s="33" t="str"/>
      <x:c r="I30" s="33" t="str">
        <x:v>Domestic</x:v>
      </x:c>
      <x:c r="J30" s="33" t="n">
        <x:f>COUNTIF('Invoice Compliance'!$E$2:$E$51,C30)</x:f>
        <x:v>4</x:v>
      </x:c>
      <x:c r="K30" s="34" t="n">
        <x:f>SUMIF('Invoice Compliance'!$E$2:$E$51,C30,'Invoice Compliance'!$T$2:$T$51)</x:f>
        <x:v>0</x:v>
      </x:c>
      <x:c r="L30" s="34" t="n">
        <x:f>SUMIF('Invoice Compliance'!$E$2:$E$51,C30,'Invoice Compliance'!$Y$2:$Y$51)</x:f>
        <x:v>89800</x:v>
      </x:c>
      <x:c r="M30" s="33" t="str">
        <x:f>IF(OR(E30="Mismatch",F30&lt;&gt;"Active"),"Needs attention","Compliant")</x:f>
        <x:v>Needs attention</x:v>
      </x:c>
      <x:c r="N30" s="33" t="str">
        <x:v>Verify PAN status, GSTIN active status, bank proof, contact, address and MSME/Udyam evidence</x:v>
      </x:c>
    </x:row>
    <x:row r="31" ht="15" hidden="0" customHeight="1">
      <x:c r="A31" s="33" t="str">
        <x:v>VEN-030</x:v>
      </x:c>
      <x:c r="B31" s="33" t="str">
        <x:v>AdReach Digital India Private Limited</x:v>
      </x:c>
      <x:c r="C31" s="11" t="str">
        <x:v>AAICA4415J</x:v>
      </x:c>
      <x:c r="D31" s="11" t="str">
        <x:v>29AAICA4415J1ZK</x:v>
      </x:c>
      <x:c r="E31" s="33" t="str">
        <x:f>IF(AND(LEN(C31)=10,MID(D31,3,10)=C31),"Matches","Mismatch")</x:f>
        <x:v>Matches</x:v>
      </x:c>
      <x:c r="F31" s="33" t="str">
        <x:v>Not verified</x:v>
      </x:c>
      <x:c r="G31" s="33" t="str"/>
      <x:c r="H31" s="33" t="str"/>
      <x:c r="I31" s="33" t="str">
        <x:v>Domestic</x:v>
      </x:c>
      <x:c r="J31" s="33" t="n">
        <x:f>COUNTIF('Invoice Compliance'!$E$2:$E$51,C31)</x:f>
        <x:v>1</x:v>
      </x:c>
      <x:c r="K31" s="34" t="n">
        <x:f>SUMIF('Invoice Compliance'!$E$2:$E$51,C31,'Invoice Compliance'!$T$2:$T$51)</x:f>
        <x:v>350000</x:v>
      </x:c>
      <x:c r="L31" s="34" t="n">
        <x:f>SUMIF('Invoice Compliance'!$E$2:$E$51,C31,'Invoice Compliance'!$Y$2:$Y$51)</x:f>
        <x:v>413000</x:v>
      </x:c>
      <x:c r="M31" s="33" t="str">
        <x:f>IF(OR(E31="Mismatch",F31&lt;&gt;"Active"),"Needs attention","Compliant")</x:f>
        <x:v>Needs attention</x:v>
      </x:c>
      <x:c r="N31" s="33" t="str">
        <x:v>Verify PAN status, GSTIN active status, bank proof, contact, address and MSME/Udyam evidence</x:v>
      </x:c>
    </x:row>
    <x:row r="32" ht="15" hidden="0" customHeight="1">
      <x:c r="A32" s="33" t="str">
        <x:v>VEN-031</x:v>
      </x:c>
      <x:c r="B32" s="33" t="str">
        <x:v>Gupta Stationers (Prop. Mukesh Gupta)</x:v>
      </x:c>
      <x:c r="C32" s="11" t="str">
        <x:v>AQXPG7120F</x:v>
      </x:c>
      <x:c r="D32" s="11" t="str">
        <x:v>07AQXPG7120F1ZQ</x:v>
      </x:c>
      <x:c r="E32" s="33" t="str">
        <x:f>IF(AND(LEN(C32)=10,MID(D32,3,10)=C32),"Matches","Mismatch")</x:f>
        <x:v>Matches</x:v>
      </x:c>
      <x:c r="F32" s="33" t="str">
        <x:v>Not verified</x:v>
      </x:c>
      <x:c r="G32" s="33" t="str">
        <x:v>UDYAM-DL-08-0009215</x:v>
      </x:c>
      <x:c r="H32" s="33" t="str">
        <x:v>Micro Enterprise (Trading)</x:v>
      </x:c>
      <x:c r="I32" s="33" t="str">
        <x:v>Domestic</x:v>
      </x:c>
      <x:c r="J32" s="33" t="n">
        <x:f>COUNTIF('Invoice Compliance'!$E$2:$E$51,C32)</x:f>
        <x:v>1</x:v>
      </x:c>
      <x:c r="K32" s="34" t="n">
        <x:f>SUMIF('Invoice Compliance'!$E$2:$E$51,C32,'Invoice Compliance'!$T$2:$T$51)</x:f>
        <x:v>0</x:v>
      </x:c>
      <x:c r="L32" s="34" t="n">
        <x:f>SUMIF('Invoice Compliance'!$E$2:$E$51,C32,'Invoice Compliance'!$Y$2:$Y$51)</x:f>
        <x:v>54900</x:v>
      </x:c>
      <x:c r="M32" s="33" t="str">
        <x:f>IF(OR(E32="Mismatch",F32&lt;&gt;"Active"),"Needs attention","Compliant")</x:f>
        <x:v>Needs attention</x:v>
      </x:c>
      <x:c r="N32" s="33" t="str">
        <x:v>Verify PAN status, GSTIN active status, bank proof, contact, address and MSME/Udyam evidence</x:v>
      </x:c>
    </x:row>
    <x:row r="33" ht="15" hidden="0" customHeight="1">
      <x:c r="A33" s="33" t="str">
        <x:v>VEN-032</x:v>
      </x:c>
      <x:c r="B33" s="33" t="str">
        <x:v>BrightMind Consulting Private Limited</x:v>
      </x:c>
      <x:c r="C33" s="11" t="str">
        <x:v>AAHCB3361G</x:v>
      </x:c>
      <x:c r="D33" s="11" t="str">
        <x:v>27AAHCB3361G1ZS</x:v>
      </x:c>
      <x:c r="E33" s="33" t="str">
        <x:f>IF(AND(LEN(C33)=10,MID(D33,3,10)=C33),"Matches","Mismatch")</x:f>
        <x:v>Matches</x:v>
      </x:c>
      <x:c r="F33" s="33" t="str">
        <x:v>Not verified</x:v>
      </x:c>
      <x:c r="G33" s="33" t="str">
        <x:v>UDYAM-MH-26-0172044</x:v>
      </x:c>
      <x:c r="H33" s="33" t="str">
        <x:v>Small Enterprise (Services)</x:v>
      </x:c>
      <x:c r="I33" s="33" t="str">
        <x:v>Domestic</x:v>
      </x:c>
      <x:c r="J33" s="33" t="n">
        <x:f>COUNTIF('Invoice Compliance'!$E$2:$E$51,C33)</x:f>
        <x:v>1</x:v>
      </x:c>
      <x:c r="K33" s="34" t="n">
        <x:f>SUMIF('Invoice Compliance'!$E$2:$E$51,C33,'Invoice Compliance'!$T$2:$T$51)</x:f>
        <x:v>500000</x:v>
      </x:c>
      <x:c r="L33" s="34" t="n">
        <x:f>SUMIF('Invoice Compliance'!$E$2:$E$51,C33,'Invoice Compliance'!$Y$2:$Y$51)</x:f>
        <x:v>590000</x:v>
      </x:c>
      <x:c r="M33" s="33" t="str">
        <x:f>IF(OR(E33="Mismatch",F33&lt;&gt;"Active"),"Needs attention","Compliant")</x:f>
        <x:v>Needs attention</x:v>
      </x:c>
      <x:c r="N33" s="33" t="str">
        <x:v>Verify PAN status, GSTIN active status, bank proof, contact, address and MSME/Udyam evidence</x:v>
      </x:c>
    </x:row>
    <x:row r="34" ht="15" hidden="0" customHeight="1">
      <x:c r="A34" s="33" t="str">
        <x:v>VEN-033</x:v>
      </x:c>
      <x:c r="B34" s="33" t="str">
        <x:v>Kalam Content Studios LLP</x:v>
      </x:c>
      <x:c r="C34" s="11" t="str">
        <x:v>AAPFK5089H</x:v>
      </x:c>
      <x:c r="D34" s="11" t="str">
        <x:v>36AAPFK5089H1ZR</x:v>
      </x:c>
      <x:c r="E34" s="33" t="str">
        <x:f>IF(AND(LEN(C34)=10,MID(D34,3,10)=C34),"Matches","Mismatch")</x:f>
        <x:v>Matches</x:v>
      </x:c>
      <x:c r="F34" s="33" t="str">
        <x:v>Not verified</x:v>
      </x:c>
      <x:c r="G34" s="33" t="str">
        <x:v>UDYAM-TS-09-0033317</x:v>
      </x:c>
      <x:c r="H34" s="33" t="str">
        <x:v>Small Enterprise (Services)</x:v>
      </x:c>
      <x:c r="I34" s="33" t="str">
        <x:v>Domestic</x:v>
      </x:c>
      <x:c r="J34" s="33" t="n">
        <x:f>COUNTIF('Invoice Compliance'!$E$2:$E$51,C34)</x:f>
        <x:v>1</x:v>
      </x:c>
      <x:c r="K34" s="34" t="n">
        <x:f>SUMIF('Invoice Compliance'!$E$2:$E$51,C34,'Invoice Compliance'!$T$2:$T$51)</x:f>
        <x:v>600000</x:v>
      </x:c>
      <x:c r="L34" s="34" t="n">
        <x:f>SUMIF('Invoice Compliance'!$E$2:$E$51,C34,'Invoice Compliance'!$Y$2:$Y$51)</x:f>
        <x:v>708000</x:v>
      </x:c>
      <x:c r="M34" s="33" t="str">
        <x:f>IF(OR(E34="Mismatch",F34&lt;&gt;"Active"),"Needs attention","Compliant")</x:f>
        <x:v>Needs attention</x:v>
      </x:c>
      <x:c r="N34" s="33" t="str">
        <x:v>Verify PAN status, GSTIN active status, bank proof, contact, address and MSME/Udyam evidence</x:v>
      </x:c>
    </x:row>
    <x:row r="35" ht="15" hidden="0" customHeight="1">
      <x:c r="A35" s="33" t="str">
        <x:v>VEN-034</x:v>
      </x:c>
      <x:c r="B35" s="33" t="str">
        <x:v>Softline Licensing Private Limited</x:v>
      </x:c>
      <x:c r="C35" s="11" t="str">
        <x:v>AAACS9910E</x:v>
      </x:c>
      <x:c r="D35" s="11" t="str">
        <x:v>07AAACS9910E1ZH</x:v>
      </x:c>
      <x:c r="E35" s="33" t="str">
        <x:f>IF(AND(LEN(C35)=10,MID(D35,3,10)=C35),"Matches","Mismatch")</x:f>
        <x:v>Matches</x:v>
      </x:c>
      <x:c r="F35" s="33" t="str">
        <x:v>Not verified</x:v>
      </x:c>
      <x:c r="G35" s="33" t="str"/>
      <x:c r="H35" s="33" t="str"/>
      <x:c r="I35" s="33" t="str">
        <x:v>Domestic</x:v>
      </x:c>
      <x:c r="J35" s="33" t="n">
        <x:f>COUNTIF('Invoice Compliance'!$E$2:$E$51,C35)</x:f>
        <x:v>1</x:v>
      </x:c>
      <x:c r="K35" s="34" t="n">
        <x:f>SUMIF('Invoice Compliance'!$E$2:$E$51,C35,'Invoice Compliance'!$T$2:$T$51)</x:f>
        <x:v>460000</x:v>
      </x:c>
      <x:c r="L35" s="34" t="n">
        <x:f>SUMIF('Invoice Compliance'!$E$2:$E$51,C35,'Invoice Compliance'!$Y$2:$Y$51)</x:f>
        <x:v>542800</x:v>
      </x:c>
      <x:c r="M35" s="33" t="str">
        <x:f>IF(OR(E35="Mismatch",F35&lt;&gt;"Active"),"Needs attention","Compliant")</x:f>
        <x:v>Needs attention</x:v>
      </x:c>
      <x:c r="N35" s="33" t="str">
        <x:v>Verify PAN status, GSTIN active status, bank proof, contact, address and MSME/Udyam evidence</x:v>
      </x:c>
    </x:row>
    <x:row r="36" ht="15" hidden="0" customHeight="1">
      <x:c r="A36" s="33" t="str">
        <x:v>VEN-035</x:v>
      </x:c>
      <x:c r="B36" s="33" t="str">
        <x:v>Arjun Mehta (Voice-over Artist)</x:v>
      </x:c>
      <x:c r="C36" s="11" t="str">
        <x:v>BBNPM2276S</x:v>
      </x:c>
      <x:c r="D36" s="11" t="str">
        <x:v>27BBNPM2276S1ZO</x:v>
      </x:c>
      <x:c r="E36" s="33" t="str">
        <x:f>IF(AND(LEN(C36)=10,MID(D36,3,10)=C36),"Matches","Mismatch")</x:f>
        <x:v>Matches</x:v>
      </x:c>
      <x:c r="F36" s="33" t="str">
        <x:v>Not verified</x:v>
      </x:c>
      <x:c r="G36" s="33" t="str">
        <x:v>UDYAM-MH-18-0211907</x:v>
      </x:c>
      <x:c r="H36" s="33" t="str">
        <x:v>Micro Enterprise (Services)</x:v>
      </x:c>
      <x:c r="I36" s="33" t="str">
        <x:v>Domestic</x:v>
      </x:c>
      <x:c r="J36" s="33" t="n">
        <x:f>COUNTIF('Invoice Compliance'!$E$2:$E$51,C36)</x:f>
        <x:v>1</x:v>
      </x:c>
      <x:c r="K36" s="34" t="n">
        <x:f>SUMIF('Invoice Compliance'!$E$2:$E$51,C36,'Invoice Compliance'!$T$2:$T$51)</x:f>
        <x:v>72000</x:v>
      </x:c>
      <x:c r="L36" s="34" t="n">
        <x:f>SUMIF('Invoice Compliance'!$E$2:$E$51,C36,'Invoice Compliance'!$Y$2:$Y$51)</x:f>
        <x:v>84960</x:v>
      </x:c>
      <x:c r="M36" s="33" t="str">
        <x:f>IF(OR(E36="Mismatch",F36&lt;&gt;"Active"),"Needs attention","Compliant")</x:f>
        <x:v>Needs attention</x:v>
      </x:c>
      <x:c r="N36" s="33" t="str">
        <x:v>Verify PAN status, GSTIN active status, bank proof, contact, address and MSME/Udyam evidence</x:v>
      </x:c>
    </x:row>
    <x:row r="37" ht="15" hidden="0" customHeight="1">
      <x:c r="A37" s="33" t="str">
        <x:v>VEN-036</x:v>
      </x:c>
      <x:c r="B37" s="33" t="str">
        <x:v>Dr. Seema Rao</x:v>
      </x:c>
      <x:c r="C37" s="11" t="str">
        <x:v>AJHPR8840K</x:v>
      </x:c>
      <x:c r="D37" s="11" t="str">
        <x:v>07AAKCN4821Q1ZV</x:v>
      </x:c>
      <x:c r="E37" s="33" t="str">
        <x:f>IF(AND(LEN(C37)=10,MID(D37,3,10)=C37),"Matches","Mismatch")</x:f>
        <x:v>Mismatch</x:v>
      </x:c>
      <x:c r="F37" s="33" t="str">
        <x:v>Not verified</x:v>
      </x:c>
      <x:c r="G37" s="33" t="str"/>
      <x:c r="H37" s="33" t="str"/>
      <x:c r="I37" s="33" t="str">
        <x:v>Domestic</x:v>
      </x:c>
      <x:c r="J37" s="33" t="n">
        <x:f>COUNTIF('Invoice Compliance'!$E$2:$E$51,C37)</x:f>
        <x:v>1</x:v>
      </x:c>
      <x:c r="K37" s="34" t="n">
        <x:f>SUMIF('Invoice Compliance'!$E$2:$E$51,C37,'Invoice Compliance'!$T$2:$T$51)</x:f>
        <x:v>0</x:v>
      </x:c>
      <x:c r="L37" s="34" t="n">
        <x:f>SUMIF('Invoice Compliance'!$E$2:$E$51,C37,'Invoice Compliance'!$Y$2:$Y$51)</x:f>
        <x:v>60000</x:v>
      </x:c>
      <x:c r="M37" s="33" t="str">
        <x:f>IF(OR(E37="Mismatch",F37&lt;&gt;"Active"),"Needs attention","Compliant")</x:f>
        <x:v>Needs attention</x:v>
      </x:c>
      <x:c r="N37" s="33" t="str">
        <x:v>Verify PAN status, GSTIN active status, bank proof, contact, address and MSME/Udyam evidence</x:v>
      </x:c>
    </x:row>
    <x:row r="38" ht="15" hidden="0" customHeight="1">
      <x:c r="A38" s="33" t="str">
        <x:v>VEN-037</x:v>
      </x:c>
      <x:c r="B38" s="33" t="str">
        <x:v>Vidya Publishers Private Limited</x:v>
      </x:c>
      <x:c r="C38" s="11" t="str">
        <x:v>AAFCV6631N</x:v>
      </x:c>
      <x:c r="D38" s="11" t="str">
        <x:v>09AAFCV6631N1ZQ</x:v>
      </x:c>
      <x:c r="E38" s="33" t="str">
        <x:f>IF(AND(LEN(C38)=10,MID(D38,3,10)=C38),"Matches","Mismatch")</x:f>
        <x:v>Matches</x:v>
      </x:c>
      <x:c r="F38" s="33" t="str">
        <x:v>Not verified</x:v>
      </x:c>
      <x:c r="G38" s="33" t="str">
        <x:v>UDYAM-UP-29-0098814</x:v>
      </x:c>
      <x:c r="H38" s="33" t="str">
        <x:v>Small Enterprise</x:v>
      </x:c>
      <x:c r="I38" s="33" t="str">
        <x:v>Domestic</x:v>
      </x:c>
      <x:c r="J38" s="33" t="n">
        <x:f>COUNTIF('Invoice Compliance'!$E$2:$E$51,C38)</x:f>
        <x:v>1</x:v>
      </x:c>
      <x:c r="K38" s="34" t="n">
        <x:f>SUMIF('Invoice Compliance'!$E$2:$E$51,C38,'Invoice Compliance'!$T$2:$T$51)</x:f>
        <x:v>540000</x:v>
      </x:c>
      <x:c r="L38" s="34" t="n">
        <x:f>SUMIF('Invoice Compliance'!$E$2:$E$51,C38,'Invoice Compliance'!$Y$2:$Y$51)</x:f>
        <x:v>540000</x:v>
      </x:c>
      <x:c r="M38" s="33" t="str">
        <x:f>IF(OR(E38="Mismatch",F38&lt;&gt;"Active"),"Needs attention","Compliant")</x:f>
        <x:v>Needs attention</x:v>
      </x:c>
      <x:c r="N38" s="33" t="str">
        <x:v>Verify PAN status, GSTIN active status, bank proof, contact, address and MSME/Udyam evidence</x:v>
      </x:c>
    </x:row>
    <x:row r="39" ht="15" hidden="0" customHeight="1">
      <x:c r="A39" s="33" t="str">
        <x:v>VEN-038</x:v>
      </x:c>
      <x:c r="B39" s="33" t="str">
        <x:v>Saraswati Paper Mart (Prop. Deepak Jain)</x:v>
      </x:c>
      <x:c r="C39" s="11" t="str">
        <x:v>AMJPJ4402B</x:v>
      </x:c>
      <x:c r="D39" s="11" t="str">
        <x:v>07AMJPJ4402B1ZM</x:v>
      </x:c>
      <x:c r="E39" s="33" t="str">
        <x:f>IF(AND(LEN(C39)=10,MID(D39,3,10)=C39),"Matches","Mismatch")</x:f>
        <x:v>Matches</x:v>
      </x:c>
      <x:c r="F39" s="33" t="str">
        <x:v>Not verified</x:v>
      </x:c>
      <x:c r="G39" s="33" t="str">
        <x:v>UDYAM-DL-02-0019963</x:v>
      </x:c>
      <x:c r="H39" s="33" t="str">
        <x:v>Micro Enterprise (Trading)</x:v>
      </x:c>
      <x:c r="I39" s="33" t="str">
        <x:v>Domestic</x:v>
      </x:c>
      <x:c r="J39" s="33" t="n">
        <x:f>COUNTIF('Invoice Compliance'!$E$2:$E$51,C39)</x:f>
        <x:v>1</x:v>
      </x:c>
      <x:c r="K39" s="34" t="n">
        <x:f>SUMIF('Invoice Compliance'!$E$2:$E$51,C39,'Invoice Compliance'!$T$2:$T$51)</x:f>
        <x:v>90000</x:v>
      </x:c>
      <x:c r="L39" s="34" t="n">
        <x:f>SUMIF('Invoice Compliance'!$E$2:$E$51,C39,'Invoice Compliance'!$Y$2:$Y$51)</x:f>
        <x:v>90000</x:v>
      </x:c>
      <x:c r="M39" s="33" t="str">
        <x:f>IF(OR(E39="Mismatch",F39&lt;&gt;"Active"),"Needs attention","Compliant")</x:f>
        <x:v>Needs attention</x:v>
      </x:c>
      <x:c r="N39" s="33" t="str">
        <x:v>Verify PAN status, GSTIN active status, bank proof, contact, address and MSME/Udyam evidence</x:v>
      </x:c>
    </x:row>
    <x:row r="40" ht="15" hidden="0" customHeight="1">
      <x:c r="A40" s="33" t="str">
        <x:v>VEN-039</x:v>
      </x:c>
      <x:c r="B40" s="33" t="str">
        <x:v>AquaPure Water Suppliers</x:v>
      </x:c>
      <x:c r="C40" s="11" t="str">
        <x:v>AAVFA1173K</x:v>
      </x:c>
      <x:c r="D40" s="11" t="str">
        <x:v>07AAVFA1173K1Z4</x:v>
      </x:c>
      <x:c r="E40" s="33" t="str">
        <x:f>IF(AND(LEN(C40)=10,MID(D40,3,10)=C40),"Matches","Mismatch")</x:f>
        <x:v>Matches</x:v>
      </x:c>
      <x:c r="F40" s="33" t="str">
        <x:v>Not verified</x:v>
      </x:c>
      <x:c r="G40" s="33" t="str">
        <x:v>UDYAM-DL-06-0044702</x:v>
      </x:c>
      <x:c r="H40" s="33" t="str">
        <x:v>Micro Enterprise</x:v>
      </x:c>
      <x:c r="I40" s="33" t="str">
        <x:v>Domestic</x:v>
      </x:c>
      <x:c r="J40" s="33" t="n">
        <x:f>COUNTIF('Invoice Compliance'!$E$2:$E$51,C40)</x:f>
        <x:v>1</x:v>
      </x:c>
      <x:c r="K40" s="34" t="n">
        <x:f>SUMIF('Invoice Compliance'!$E$2:$E$51,C40,'Invoice Compliance'!$T$2:$T$51)</x:f>
        <x:v>21000</x:v>
      </x:c>
      <x:c r="L40" s="34" t="n">
        <x:f>SUMIF('Invoice Compliance'!$E$2:$E$51,C40,'Invoice Compliance'!$Y$2:$Y$51)</x:f>
        <x:v>22050</x:v>
      </x:c>
      <x:c r="M40" s="33" t="str">
        <x:f>IF(OR(E40="Mismatch",F40&lt;&gt;"Active"),"Needs attention","Compliant")</x:f>
        <x:v>Needs attention</x:v>
      </x:c>
      <x:c r="N40" s="33" t="str">
        <x:v>Verify PAN status, GSTIN active status, bank proof, contact, address and MSME/Udyam evidence</x:v>
      </x:c>
    </x:row>
    <x:row r="41" ht="15" hidden="0" customHeight="1">
      <x:c r="A41" s="33" t="str">
        <x:v>VEN-040</x:v>
      </x:c>
      <x:c r="B41" s="33" t="str">
        <x:v>Party Supplies Co. (Prop. Sunil Bhatia)</x:v>
      </x:c>
      <x:c r="C41" s="11" t="str">
        <x:v>AQJPB6095D</x:v>
      </x:c>
      <x:c r="D41" s="11" t="str">
        <x:v>07AQJPB6095D1ZX</x:v>
      </x:c>
      <x:c r="E41" s="33" t="str">
        <x:f>IF(AND(LEN(C41)=10,MID(D41,3,10)=C41),"Matches","Mismatch")</x:f>
        <x:v>Matches</x:v>
      </x:c>
      <x:c r="F41" s="33" t="str">
        <x:v>Not verified</x:v>
      </x:c>
      <x:c r="G41" s="33" t="str"/>
      <x:c r="H41" s="33" t="str"/>
      <x:c r="I41" s="33" t="str">
        <x:v>Domestic</x:v>
      </x:c>
      <x:c r="J41" s="33" t="n">
        <x:f>COUNTIF('Invoice Compliance'!$E$2:$E$51,C41)</x:f>
        <x:v>1</x:v>
      </x:c>
      <x:c r="K41" s="34" t="n">
        <x:f>SUMIF('Invoice Compliance'!$E$2:$E$51,C41,'Invoice Compliance'!$T$2:$T$51)</x:f>
        <x:v>21600</x:v>
      </x:c>
      <x:c r="L41" s="34" t="n">
        <x:f>SUMIF('Invoice Compliance'!$E$2:$E$51,C41,'Invoice Compliance'!$Y$2:$Y$51)</x:f>
        <x:v>27720</x:v>
      </x:c>
      <x:c r="M41" s="33" t="str">
        <x:f>IF(OR(E41="Mismatch",F41&lt;&gt;"Active"),"Needs attention","Compliant")</x:f>
        <x:v>Needs attention</x:v>
      </x:c>
      <x:c r="N41" s="33" t="str">
        <x:v>Verify PAN status, GSTIN active status, bank proof, contact, address and MSME/Udyam evidence</x:v>
      </x:c>
    </x:row>
    <x:row r="42" ht="15" hidden="0" customHeight="1">
      <x:c r="A42" s="33" t="str">
        <x:v>VEN-041</x:v>
      </x:c>
      <x:c r="B42" s="33" t="str">
        <x:v>MediCare Pharma Distributors</x:v>
      </x:c>
      <x:c r="C42" s="11" t="str">
        <x:v>AAOFM3388L</x:v>
      </x:c>
      <x:c r="D42" s="11" t="str">
        <x:v>07AAOFM3388L1ZK</x:v>
      </x:c>
      <x:c r="E42" s="33" t="str">
        <x:f>IF(AND(LEN(C42)=10,MID(D42,3,10)=C42),"Matches","Mismatch")</x:f>
        <x:v>Matches</x:v>
      </x:c>
      <x:c r="F42" s="33" t="str">
        <x:v>Not verified</x:v>
      </x:c>
      <x:c r="G42" s="33" t="str">
        <x:v>UDYAM-DL-02-0050719</x:v>
      </x:c>
      <x:c r="H42" s="33" t="str">
        <x:v>Small Enterprise (Trading)</x:v>
      </x:c>
      <x:c r="I42" s="33" t="str">
        <x:v>Domestic</x:v>
      </x:c>
      <x:c r="J42" s="33" t="n">
        <x:f>COUNTIF('Invoice Compliance'!$E$2:$E$51,C42)</x:f>
        <x:v>1</x:v>
      </x:c>
      <x:c r="K42" s="34" t="n">
        <x:f>SUMIF('Invoice Compliance'!$E$2:$E$51,C42,'Invoice Compliance'!$T$2:$T$51)</x:f>
        <x:v>17000</x:v>
      </x:c>
      <x:c r="L42" s="34" t="n">
        <x:f>SUMIF('Invoice Compliance'!$E$2:$E$51,C42,'Invoice Compliance'!$Y$2:$Y$51)</x:f>
        <x:v>17850</x:v>
      </x:c>
      <x:c r="M42" s="33" t="str">
        <x:f>IF(OR(E42="Mismatch",F42&lt;&gt;"Active"),"Needs attention","Compliant")</x:f>
        <x:v>Needs attention</x:v>
      </x:c>
      <x:c r="N42" s="33" t="str">
        <x:v>Verify PAN status, GSTIN active status, bank proof, contact, address and MSME/Udyam evidence</x:v>
      </x:c>
    </x:row>
    <x:row r="43" ht="15" hidden="0" customHeight="1">
      <x:c r="A43" s="33" t="str">
        <x:v>VEN-042</x:v>
      </x:c>
      <x:c r="B43" s="33" t="str">
        <x:v>Ramesh Electricals (Prop. Ramesh Pal)</x:v>
      </x:c>
      <x:c r="C43" s="11" t="str">
        <x:v>CPKPP5512G</x:v>
      </x:c>
      <x:c r="D43" s="11" t="str">
        <x:v>07AAKCN4821Q1ZV</x:v>
      </x:c>
      <x:c r="E43" s="33" t="str">
        <x:f>IF(AND(LEN(C43)=10,MID(D43,3,10)=C43),"Matches","Mismatch")</x:f>
        <x:v>Mismatch</x:v>
      </x:c>
      <x:c r="F43" s="33" t="str">
        <x:v>Not verified</x:v>
      </x:c>
      <x:c r="G43" s="33" t="str"/>
      <x:c r="H43" s="33" t="str"/>
      <x:c r="I43" s="33" t="str">
        <x:v>Domestic</x:v>
      </x:c>
      <x:c r="J43" s="33" t="n">
        <x:f>COUNTIF('Invoice Compliance'!$E$2:$E$51,C43)</x:f>
        <x:v>1</x:v>
      </x:c>
      <x:c r="K43" s="34" t="n">
        <x:f>SUMIF('Invoice Compliance'!$E$2:$E$51,C43,'Invoice Compliance'!$T$2:$T$51)</x:f>
        <x:v>0</x:v>
      </x:c>
      <x:c r="L43" s="34" t="n">
        <x:f>SUMIF('Invoice Compliance'!$E$2:$E$51,C43,'Invoice Compliance'!$Y$2:$Y$51)</x:f>
        <x:v>28000</x:v>
      </x:c>
      <x:c r="M43" s="33" t="str">
        <x:f>IF(OR(E43="Mismatch",F43&lt;&gt;"Active"),"Needs attention","Compliant")</x:f>
        <x:v>Needs attention</x:v>
      </x:c>
      <x:c r="N43" s="33" t="str">
        <x:v>Verify PAN status, GSTIN active status, bank proof, contact, address and MSME/Udyam evidence</x:v>
      </x:c>
    </x:row>
    <x:row r="44" ht="15" hidden="0" customHeight="1">
      <x:c r="A44" s="33" t="str">
        <x:v>VEN-043</x:v>
      </x:c>
      <x:c r="B44" s="33" t="str">
        <x:v>Buildcraft Interiors LLP</x:v>
      </x:c>
      <x:c r="C44" s="11" t="str">
        <x:v>AAPFB7720C</x:v>
      </x:c>
      <x:c r="D44" s="11" t="str">
        <x:v>06AAPFB7720C1ZN</x:v>
      </x:c>
      <x:c r="E44" s="33" t="str">
        <x:f>IF(AND(LEN(C44)=10,MID(D44,3,10)=C44),"Matches","Mismatch")</x:f>
        <x:v>Matches</x:v>
      </x:c>
      <x:c r="F44" s="33" t="str">
        <x:v>Not verified</x:v>
      </x:c>
      <x:c r="G44" s="33" t="str">
        <x:v>UDYAM-HR-05-0071190</x:v>
      </x:c>
      <x:c r="H44" s="33" t="str">
        <x:v>Small Enterprise (Services)</x:v>
      </x:c>
      <x:c r="I44" s="33" t="str">
        <x:v>Domestic</x:v>
      </x:c>
      <x:c r="J44" s="33" t="n">
        <x:f>COUNTIF('Invoice Compliance'!$E$2:$E$51,C44)</x:f>
        <x:v>1</x:v>
      </x:c>
      <x:c r="K44" s="34" t="n">
        <x:f>SUMIF('Invoice Compliance'!$E$2:$E$51,C44,'Invoice Compliance'!$T$2:$T$51)</x:f>
        <x:v>1850000</x:v>
      </x:c>
      <x:c r="L44" s="34" t="n">
        <x:f>SUMIF('Invoice Compliance'!$E$2:$E$51,C44,'Invoice Compliance'!$Y$2:$Y$51)</x:f>
        <x:v>2183000</x:v>
      </x:c>
      <x:c r="M44" s="33" t="str">
        <x:f>IF(OR(E44="Mismatch",F44&lt;&gt;"Active"),"Needs attention","Compliant")</x:f>
        <x:v>Needs attention</x:v>
      </x:c>
      <x:c r="N44" s="33" t="str">
        <x:v>Verify PAN status, GSTIN active status, bank proof, contact, address and MSME/Udyam evidence</x:v>
      </x:c>
    </x:row>
    <x:row r="45" ht="15" hidden="0" customHeight="1">
      <x:c r="A45" s="33" t="str">
        <x:v>VEN-044</x:v>
      </x:c>
      <x:c r="B45" s="33" t="str">
        <x:v>Sethi Architects</x:v>
      </x:c>
      <x:c r="C45" s="11" t="str">
        <x:v>AAJFS2245Q</x:v>
      </x:c>
      <x:c r="D45" s="11" t="str">
        <x:v>07AAJFS2245Q1ZN</x:v>
      </x:c>
      <x:c r="E45" s="33" t="str">
        <x:f>IF(AND(LEN(C45)=10,MID(D45,3,10)=C45),"Matches","Mismatch")</x:f>
        <x:v>Matches</x:v>
      </x:c>
      <x:c r="F45" s="33" t="str">
        <x:v>Not verified</x:v>
      </x:c>
      <x:c r="G45" s="33" t="str">
        <x:v>UDYAM-DL-08-0035512</x:v>
      </x:c>
      <x:c r="H45" s="33" t="str">
        <x:v>Micro Enterprise (Services)</x:v>
      </x:c>
      <x:c r="I45" s="33" t="str">
        <x:v>Domestic</x:v>
      </x:c>
      <x:c r="J45" s="33" t="n">
        <x:f>COUNTIF('Invoice Compliance'!$E$2:$E$51,C45)</x:f>
        <x:v>1</x:v>
      </x:c>
      <x:c r="K45" s="34" t="n">
        <x:f>SUMIF('Invoice Compliance'!$E$2:$E$51,C45,'Invoice Compliance'!$T$2:$T$51)</x:f>
        <x:v>235400</x:v>
      </x:c>
      <x:c r="L45" s="34" t="n">
        <x:f>SUMIF('Invoice Compliance'!$E$2:$E$51,C45,'Invoice Compliance'!$Y$2:$Y$51)</x:f>
        <x:v>271400</x:v>
      </x:c>
      <x:c r="M45" s="33" t="str">
        <x:f>IF(OR(E45="Mismatch",F45&lt;&gt;"Active"),"Needs attention","Compliant")</x:f>
        <x:v>Needs attention</x:v>
      </x:c>
      <x:c r="N45" s="33" t="str">
        <x:v>Verify PAN status, GSTIN active status, bank proof, contact, address and MSME/Udyam evidence</x:v>
      </x:c>
    </x:row>
    <x:row r="46" ht="15" hidden="0" customHeight="1">
      <x:c r="A46" s="33" t="str">
        <x:v>VEN-045</x:v>
      </x:c>
      <x:c r="B46" s="33" t="str">
        <x:v>Bharat Infra Works</x:v>
      </x:c>
      <x:c r="C46" s="11" t="str">
        <x:v>AAKFB4492D</x:v>
      </x:c>
      <x:c r="D46" s="11" t="str">
        <x:v>07AAKFB4492D1ZH</x:v>
      </x:c>
      <x:c r="E46" s="33" t="str">
        <x:f>IF(AND(LEN(C46)=10,MID(D46,3,10)=C46),"Matches","Mismatch")</x:f>
        <x:v>Matches</x:v>
      </x:c>
      <x:c r="F46" s="33" t="str">
        <x:v>Not verified</x:v>
      </x:c>
      <x:c r="G46" s="33" t="str">
        <x:v>UDYAM-DL-09-0082231</x:v>
      </x:c>
      <x:c r="H46" s="33" t="str">
        <x:v>Small Enterprise (Services)</x:v>
      </x:c>
      <x:c r="I46" s="33" t="str">
        <x:v>Domestic</x:v>
      </x:c>
      <x:c r="J46" s="33" t="n">
        <x:f>COUNTIF('Invoice Compliance'!$E$2:$E$51,C46)</x:f>
        <x:v>1</x:v>
      </x:c>
      <x:c r="K46" s="34" t="n">
        <x:f>SUMIF('Invoice Compliance'!$E$2:$E$51,C46,'Invoice Compliance'!$T$2:$T$51)</x:f>
        <x:v>600000</x:v>
      </x:c>
      <x:c r="L46" s="34" t="n">
        <x:f>SUMIF('Invoice Compliance'!$E$2:$E$51,C46,'Invoice Compliance'!$Y$2:$Y$51)</x:f>
        <x:v>708000</x:v>
      </x:c>
      <x:c r="M46" s="33" t="str">
        <x:f>IF(OR(E46="Mismatch",F46&lt;&gt;"Active"),"Needs attention","Compliant")</x:f>
        <x:v>Needs attention</x:v>
      </x:c>
      <x:c r="N46" s="33" t="str">
        <x:v>Verify PAN status, GSTIN active status, bank proof, contact, address and MSME/Udyam evidence</x:v>
      </x:c>
    </x:row>
    <x:row r="47" ht="15" hidden="0" customHeight="1">
      <x:c r="A47" s="33" t="str">
        <x:v>VEN-046</x:v>
      </x:c>
      <x:c r="B47" s="33" t="str">
        <x:v>Indian EdTech Industry Association</x:v>
      </x:c>
      <x:c r="C47" s="11" t="str">
        <x:v>AABTI5530P</x:v>
      </x:c>
      <x:c r="D47" s="11" t="str">
        <x:v>07AABTI5530P1ZC</x:v>
      </x:c>
      <x:c r="E47" s="33" t="str">
        <x:f>IF(AND(LEN(C47)=10,MID(D47,3,10)=C47),"Matches","Mismatch")</x:f>
        <x:v>Matches</x:v>
      </x:c>
      <x:c r="F47" s="33" t="str">
        <x:v>Not verified</x:v>
      </x:c>
      <x:c r="G47" s="33" t="str"/>
      <x:c r="H47" s="33" t="str"/>
      <x:c r="I47" s="33" t="str">
        <x:v>Domestic</x:v>
      </x:c>
      <x:c r="J47" s="33" t="n">
        <x:f>COUNTIF('Invoice Compliance'!$E$2:$E$51,C47)</x:f>
        <x:v>1</x:v>
      </x:c>
      <x:c r="K47" s="34" t="n">
        <x:f>SUMIF('Invoice Compliance'!$E$2:$E$51,C47,'Invoice Compliance'!$T$2:$T$51)</x:f>
        <x:v>50000</x:v>
      </x:c>
      <x:c r="L47" s="34" t="n">
        <x:f>SUMIF('Invoice Compliance'!$E$2:$E$51,C47,'Invoice Compliance'!$Y$2:$Y$51)</x:f>
        <x:v>59000</x:v>
      </x:c>
      <x:c r="M47" s="33" t="str">
        <x:f>IF(OR(E47="Mismatch",F47&lt;&gt;"Active"),"Needs attention","Compliant")</x:f>
        <x:v>Needs attention</x:v>
      </x:c>
      <x:c r="N47" s="33" t="str">
        <x:v>Verify PAN status, GSTIN active status, bank proof, contact, address and MSME/Udyam evidence</x:v>
      </x:c>
    </x:row>
  </x:sheetData>
  <x:conditionalFormatting sqref="M2:M47">
    <x:cfRule type="containsText" dxfId="3" priority="1" operator="containsText" text="Needs attention"/>
  </x:conditionalFormatting>
  <x:dataValidations count="1">
    <x:dataValidation type="list" sqref="F2:F47">
      <x:formula1>"Not verified,Active,Inactive,Cancelled"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f66bd724404c0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</x:cols>
  <x:sheetData>
    <x:row r="1" ht="36" hidden="0" customHeight="1">
      <x:c r="A1" s="28" t="str">
        <x:v>Rule ID</x:v>
      </x:c>
      <x:c r="B1" s="28" t="str">
        <x:v>Payment Category</x:v>
      </x:c>
      <x:c r="C1" s="28" t="str">
        <x:v>Income-tax Act, 1961</x:v>
      </x:c>
      <x:c r="D1" s="28" t="str">
        <x:v>Income-tax Act, 2025</x:v>
      </x:c>
      <x:c r="E1" s="28" t="str">
        <x:v>Indicative Rate</x:v>
      </x:c>
      <x:c r="F1" s="28" t="str">
        <x:v>Threshold / Trigger</x:v>
      </x:c>
      <x:c r="G1" s="28" t="str">
        <x:v>TDS Base</x:v>
      </x:c>
      <x:c r="H1" s="28" t="str">
        <x:v>Sign-off Status</x:v>
      </x:c>
      <x:c r="I1" s="28" t="str">
        <x:v>Tax Team Notes</x:v>
      </x:c>
    </x:row>
    <x:row r="2" ht="84" hidden="0" customHeight="1">
      <x:c r="A2" s="42" t="str">
        <x:v>TDS-01</x:v>
      </x:c>
      <x:c r="B2" s="42" t="str">
        <x:v>Contract / work</x:v>
      </x:c>
      <x:c r="C2" s="42" t="str">
        <x:v>s.194C</x:v>
      </x:c>
      <x:c r="D2" s="42" t="str">
        <x:v>s.393(1), Table 6(i) for resident contractor</x:v>
      </x:c>
      <x:c r="E2" s="42" t="str">
        <x:v>1% individual/HUF; 2% other</x:v>
      </x:c>
      <x:c r="F2" s="42" t="str">
        <x:v>₹30,000 single contract or ₹1,00,000 aggregate FY</x:v>
      </x:c>
      <x:c r="G2" s="42" t="str">
        <x:v>Value excluding separately indicated GST</x:v>
      </x:c>
      <x:c r="H2" s="42" t="str">
        <x:v>Draft - sign off</x:v>
      </x:c>
      <x:c r="I2" s="42" t="str">
        <x:v>Confirm resident status, constitution and aggregate payments.</x:v>
      </x:c>
    </x:row>
    <x:row r="3" ht="84" hidden="0" customHeight="1">
      <x:c r="A3" s="42" t="str">
        <x:v>TDS-02</x:v>
      </x:c>
      <x:c r="B3" s="42" t="str">
        <x:v>Commission / brokerage</x:v>
      </x:c>
      <x:c r="C3" s="42" t="str">
        <x:v>s.194H</x:v>
      </x:c>
      <x:c r="D3" s="42" t="str">
        <x:v>s.393(1), resident-payee table</x:v>
      </x:c>
      <x:c r="E3" s="42" t="str">
        <x:v>2%</x:v>
      </x:c>
      <x:c r="F3" s="42" t="str">
        <x:v>₹20,000 aggregate FY</x:v>
      </x:c>
      <x:c r="G3" s="42" t="str">
        <x:v>Value excluding separately indicated GST</x:v>
      </x:c>
      <x:c r="H3" s="42" t="str">
        <x:v>Draft - sign off</x:v>
      </x:c>
      <x:c r="I3" s="42" t="str">
        <x:v>Confirm no exclusion applies and aggregate threshold.</x:v>
      </x:c>
    </x:row>
    <x:row r="4" ht="84" hidden="0" customHeight="1">
      <x:c r="A4" s="42" t="str">
        <x:v>TDS-03</x:v>
      </x:c>
      <x:c r="B4" s="42" t="str">
        <x:v>Rent</x:v>
      </x:c>
      <x:c r="C4" s="42" t="str">
        <x:v>s.194I</x:v>
      </x:c>
      <x:c r="D4" s="42" t="str">
        <x:v>s.393(1), resident-payee table</x:v>
      </x:c>
      <x:c r="E4" s="42" t="str">
        <x:v>2% plant/machinery; 10% land/building/furniture</x:v>
      </x:c>
      <x:c r="F4" s="42" t="str">
        <x:v>₹6,00,000 aggregate FY</x:v>
      </x:c>
      <x:c r="G4" s="42" t="str">
        <x:v>Rent excluding separately indicated GST</x:v>
      </x:c>
      <x:c r="H4" s="42" t="str">
        <x:v>Draft - sign off</x:v>
      </x:c>
      <x:c r="I4" s="42" t="str">
        <x:v>Confirm asset category and aggregate rent.</x:v>
      </x:c>
    </x:row>
    <x:row r="5" ht="72" hidden="0" customHeight="1">
      <x:c r="A5" s="42" t="str">
        <x:v>TDS-04</x:v>
      </x:c>
      <x:c r="B5" s="42" t="str">
        <x:v>Professional / technical / royalty / director</x:v>
      </x:c>
      <x:c r="C5" s="42" t="str">
        <x:v>s.194J</x:v>
      </x:c>
      <x:c r="D5" s="42" t="str">
        <x:v>s.393(1), resident-payee table</x:v>
      </x:c>
      <x:c r="E5" s="42" t="str">
        <x:v>2% technical; 10% professional, royalty, director</x:v>
      </x:c>
      <x:c r="F5" s="42" t="str">
        <x:v>₹50,000 aggregate FY</x:v>
      </x:c>
      <x:c r="G5" s="42" t="str">
        <x:v>Value excluding separately indicated GST</x:v>
      </x:c>
      <x:c r="H5" s="42" t="str">
        <x:v>Draft - sign off</x:v>
      </x:c>
      <x:c r="I5" s="42" t="str">
        <x:v>Confirm characterisation, rate and lower-rate certificate.</x:v>
      </x:c>
    </x:row>
    <x:row r="6" ht="108" hidden="0" customHeight="1">
      <x:c r="A6" s="42" t="str">
        <x:v>TDS-05</x:v>
      </x:c>
      <x:c r="B6" s="42" t="str">
        <x:v>Goods purchase</x:v>
      </x:c>
      <x:c r="C6" s="42" t="str">
        <x:v>s.194Q</x:v>
      </x:c>
      <x:c r="D6" s="42" t="str">
        <x:v>s.393(1), Table 8(ii)</x:v>
      </x:c>
      <x:c r="E6" s="42" t="str">
        <x:v>0.1%</x:v>
      </x:c>
      <x:c r="F6" s="42" t="str">
        <x:v>Buyer turnover and ₹50 lakh seller-purchase threshold</x:v>
      </x:c>
      <x:c r="G6" s="42" t="str">
        <x:v>Purchase value over threshold; GST treatment per applicable guidance</x:v>
      </x:c>
      <x:c r="H6" s="42" t="str">
        <x:v>Draft - sign off</x:v>
      </x:c>
      <x:c r="I6" s="42" t="str">
        <x:v>Check buyer turnover, overlap provisions and annual purchase ledger.</x:v>
      </x:c>
    </x:row>
    <x:row r="7" ht="108" hidden="0" customHeight="1">
      <x:c r="A7" s="42" t="str">
        <x:v>TDS-06</x:v>
      </x:c>
      <x:c r="B7" s="42" t="str">
        <x:v>Foreign vendor payment</x:v>
      </x:c>
      <x:c r="C7" s="42" t="str">
        <x:v>s.195</x:v>
      </x:c>
      <x:c r="D7" s="42" t="str">
        <x:v>s.393(2), non-resident payee table</x:v>
      </x:c>
      <x:c r="E7" s="42" t="str">
        <x:v>Act / treaty / gross-up as applicable</x:v>
      </x:c>
      <x:c r="F7" s="42" t="str">
        <x:v>No general threshold; characterisation driven</x:v>
      </x:c>
      <x:c r="G7" s="42" t="str">
        <x:v>Amount per Act/treaty, not an automated invoice rule</x:v>
      </x:c>
      <x:c r="H7" s="42" t="str">
        <x:v>Draft - sign off</x:v>
      </x:c>
      <x:c r="I7" s="42" t="str">
        <x:v>Obtain TRC, Form 10F, PE declaration and taxability/treaty analysis.</x:v>
      </x:c>
    </x:row>
    <x:row r="8" ht="84" hidden="0" customHeight="1">
      <x:c r="A8" s="42" t="str">
        <x:v>GST-01</x:v>
      </x:c>
      <x:c r="B8" s="42" t="str">
        <x:v>ITC payment condition</x:v>
      </x:c>
      <x:c r="C8" s="42" t="str">
        <x:v>CGST Act s.16(2), Rule 37</x:v>
      </x:c>
      <x:c r="D8" s="42" t="str">
        <x:v>Not applicable</x:v>
      </x:c>
      <x:c r="E8" s="42" t="str">
        <x:v>ITC reversal with interest if unpaid</x:v>
      </x:c>
      <x:c r="F8" s="42" t="str">
        <x:v>180 days from invoice date</x:v>
      </x:c>
      <x:c r="G8" s="42" t="str">
        <x:v>Proportionate ITC for unpaid amount</x:v>
      </x:c>
      <x:c r="H8" s="42" t="str">
        <x:v>Draft - sign off</x:v>
      </x:c>
      <x:c r="I8" s="42" t="str">
        <x:v>RCM supplies excluded from 180-day payment condition.</x:v>
      </x:c>
    </x:row>
    <x:row r="9" ht="84" hidden="0" customHeight="1">
      <x:c r="A9" s="42" t="str">
        <x:v>MSME-01</x:v>
      </x:c>
      <x:c r="B9" s="42" t="str">
        <x:v>Micro / small enterprise payment</x:v>
      </x:c>
      <x:c r="C9" s="42" t="str">
        <x:v>MSMED Act 2006 ss.15-16</x:v>
      </x:c>
      <x:c r="D9" s="42" t="str">
        <x:v>Not applicable</x:v>
      </x:c>
      <x:c r="E9" s="42" t="str">
        <x:v>Interest consequences</x:v>
      </x:c>
      <x:c r="F9" s="42" t="str">
        <x:v>45 days from acceptance / deemed acceptance</x:v>
      </x:c>
      <x:c r="G9" s="42" t="str">
        <x:v>Invoice amount / agreed liability</x:v>
      </x:c>
      <x:c r="H9" s="42" t="str">
        <x:v>Draft - sign off</x:v>
      </x:c>
      <x:c r="I9" s="42" t="str">
        <x:v>Confirm Udyam status and written agreement terms.</x:v>
      </x:c>
    </x:row>
  </x:sheetData>
  <x:pageMargins left="0.7" right="0.7" top="0.75" bottom="0.75" header="0.3" footer="0.3"/>
  <x:tableParts count="1">
    <x:tablePart xmlns:r="http://schemas.openxmlformats.org/officeDocument/2006/relationships" r:id="Rd1547ce77f694c6e"/>
  </x:tableParts>
</x:worksheet>
</file>

<file path=xl/worksheets/sheet6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120" hidden="0" customWidth="1"/>
  </x:cols>
  <x:sheetData>
    <x:row r="1"/>
    <x:row r="2" ht="16.799999237060547" hidden="0" customHeight="1">
      <x:c r="A2" s="76" t="str">
        <x:v>How to use this workbook</x:v>
      </x:c>
    </x:row>
    <x:row r="3"/>
    <x:row r="4" ht="15" hidden="0" customHeight="1">
      <x:c r="A4" s="71" t="str">
        <x:v>1. Start in Invoice Compliance. Populate payment dates, GST portal/GSTR-2B results, TDS deducted, deposit date and return status.</x:v>
      </x:c>
    </x:row>
    <x:row r="5" ht="24" hidden="0" customHeight="1">
      <x:c r="A5" s="71" t="str">
        <x:v>2. Use Tax Rules only after the tax team has signed off the rate, threshold and section/table mapping. The new Income-tax Act, 2025 applies from 1 April 2026 based on the earlier of credit or payment.</x:v>
      </x:c>
    </x:row>
    <x:row r="6" ht="15" hidden="0" customHeight="1">
      <x:c r="A6" s="71" t="str">
        <x:v>3. Review Exceptions by owner and close only after evidence is attached in the accounting process. Amount at stake is an exposure flag, not a final tax demand.</x:v>
      </x:c>
    </x:row>
    <x:row r="7" ht="15" hidden="0" customHeight="1">
      <x:c r="A7" s="71" t="str">
        <x:v>4. Vendor Master is the cleanup list. Add active GST/PAN evidence, bank validation, address/contact, and Udyam support.</x:v>
      </x:c>
    </x:row>
    <x:row r="8" ht="15" hidden="0" customHeight="1">
      <x:c r="A8" s="71" t="str">
        <x:v>5. GST tax direction is assessed from the vendor GSTIN state and invoice tax split. It is a document check, not a substitute for a tax opinion.</x:v>
      </x:c>
    </x:row>
    <x:row r="9" ht="15" hidden="0" customHeight="1">
      <x:c r="A9" s="71" t="str">
        <x:v>6. The source PDFs are labelled training samples with fictitious identifiers. Do not use their identifiers for live filings.</x:v>
      </x:c>
    </x:row>
    <x:row r="10" ht="24" hidden="0" customHeight="1">
      <x:c r="A10" s="71" t="str">
        <x:v>Source and legal-reference note: Invoice facts were extracted from the 50 supplied PDFs. The rates/thresholds table is a draft control table and must be approved by the tax team before use.</x:v>
      </x:c>
    </x:row>
    <x:row r="11" ht="15" hidden="0" customHeight="1">
      <x:c r="A11" s="71"/>
    </x:row>
  </x:sheetData>
  <x:pageMargins left="0.7" right="0.7" top="0.75" bottom="0.75" header="0.3" footer="0.3"/>
</x:worksheet>
</file>